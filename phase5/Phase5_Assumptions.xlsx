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hjoh\Desktop\GIC Blanchard-Bernanke Inflation\phase5\"/>
    </mc:Choice>
  </mc:AlternateContent>
  <xr:revisionPtr revIDLastSave="0" documentId="13_ncr:1_{8F0C9356-11A0-488F-B811-AA44512311CA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README" sheetId="1" r:id="rId1"/>
    <sheet name="Settings" sheetId="2" r:id="rId2"/>
    <sheet name="Inputs_A" sheetId="3" r:id="rId3"/>
    <sheet name="Inputs_B" sheetId="4" r:id="rId4"/>
    <sheet name="Model_Inputs_A" sheetId="5" r:id="rId5"/>
    <sheet name="Model_Inputs_B" sheetId="6" r:id="rId6"/>
    <sheet name="Variables" sheetId="7" r:id="rId7"/>
    <sheet name="History" sheetId="8" r:id="rId8"/>
    <sheet name="Realised" sheetId="9" r:id="rId9"/>
    <sheet name="Aux_Models" sheetId="10" r:id="rId10"/>
    <sheet name="Coefficients" sheetId="11" r:id="rId11"/>
  </sheets>
  <calcPr calcId="191029"/>
</workbook>
</file>

<file path=xl/calcChain.xml><?xml version="1.0" encoding="utf-8"?>
<calcChain xmlns="http://schemas.openxmlformats.org/spreadsheetml/2006/main">
  <c r="P19" i="9" l="1"/>
  <c r="O19" i="9"/>
  <c r="N19" i="9"/>
  <c r="M19" i="9"/>
  <c r="L19" i="9"/>
  <c r="P18" i="9"/>
  <c r="O18" i="9"/>
  <c r="N18" i="9"/>
  <c r="M18" i="9"/>
  <c r="L18" i="9"/>
  <c r="P17" i="9"/>
  <c r="O17" i="9"/>
  <c r="N17" i="9"/>
  <c r="M17" i="9"/>
  <c r="L17" i="9"/>
  <c r="P16" i="9"/>
  <c r="O16" i="9"/>
  <c r="N16" i="9"/>
  <c r="M16" i="9"/>
  <c r="L16" i="9"/>
  <c r="P15" i="9"/>
  <c r="O15" i="9"/>
  <c r="N15" i="9"/>
  <c r="M15" i="9"/>
  <c r="L15" i="9"/>
  <c r="P14" i="9"/>
  <c r="O14" i="9"/>
  <c r="N14" i="9"/>
  <c r="M14" i="9"/>
  <c r="L14" i="9"/>
  <c r="P13" i="9"/>
  <c r="O13" i="9"/>
  <c r="N13" i="9"/>
  <c r="M13" i="9"/>
  <c r="L13" i="9"/>
  <c r="P12" i="9"/>
  <c r="O12" i="9"/>
  <c r="N12" i="9"/>
  <c r="M12" i="9"/>
  <c r="L12" i="9"/>
  <c r="P11" i="9"/>
  <c r="O11" i="9"/>
  <c r="N11" i="9"/>
  <c r="M11" i="9"/>
  <c r="L11" i="9"/>
  <c r="P10" i="9"/>
  <c r="O10" i="9"/>
  <c r="N10" i="9"/>
  <c r="M10" i="9"/>
  <c r="L10" i="9"/>
  <c r="P9" i="9"/>
  <c r="O9" i="9"/>
  <c r="N9" i="9"/>
  <c r="M9" i="9"/>
  <c r="L9" i="9"/>
  <c r="P8" i="9"/>
  <c r="O8" i="9"/>
  <c r="N8" i="9"/>
  <c r="M8" i="9"/>
  <c r="L8" i="9"/>
  <c r="T25" i="8"/>
  <c r="I17" i="6" s="1"/>
  <c r="R25" i="8"/>
  <c r="Q25" i="8"/>
  <c r="P25" i="8"/>
  <c r="O25" i="8"/>
  <c r="G17" i="6" s="1"/>
  <c r="N25" i="8"/>
  <c r="F17" i="6" s="1"/>
  <c r="M25" i="8"/>
  <c r="L25" i="8"/>
  <c r="T24" i="8"/>
  <c r="I16" i="6" s="1"/>
  <c r="R24" i="8"/>
  <c r="K16" i="6" s="1"/>
  <c r="Q24" i="8"/>
  <c r="P24" i="8"/>
  <c r="O24" i="8"/>
  <c r="G16" i="6" s="1"/>
  <c r="N24" i="8"/>
  <c r="F16" i="6" s="1"/>
  <c r="M24" i="8"/>
  <c r="L24" i="8"/>
  <c r="T23" i="8"/>
  <c r="I15" i="6" s="1"/>
  <c r="R23" i="8"/>
  <c r="Q23" i="8"/>
  <c r="P23" i="8"/>
  <c r="O23" i="8"/>
  <c r="G15" i="6" s="1"/>
  <c r="N23" i="8"/>
  <c r="F15" i="6" s="1"/>
  <c r="M23" i="8"/>
  <c r="L23" i="8"/>
  <c r="T22" i="8"/>
  <c r="I14" i="6" s="1"/>
  <c r="R22" i="8"/>
  <c r="K14" i="6" s="1"/>
  <c r="Q22" i="8"/>
  <c r="P22" i="8"/>
  <c r="O22" i="8"/>
  <c r="G14" i="6" s="1"/>
  <c r="N22" i="8"/>
  <c r="F14" i="6" s="1"/>
  <c r="M22" i="8"/>
  <c r="L22" i="8"/>
  <c r="T21" i="8"/>
  <c r="I13" i="6" s="1"/>
  <c r="R21" i="8"/>
  <c r="K13" i="6" s="1"/>
  <c r="Q21" i="8"/>
  <c r="P21" i="8"/>
  <c r="O21" i="8"/>
  <c r="G13" i="6" s="1"/>
  <c r="N21" i="8"/>
  <c r="F13" i="6" s="1"/>
  <c r="M21" i="8"/>
  <c r="L21" i="8"/>
  <c r="T20" i="8"/>
  <c r="R20" i="8"/>
  <c r="Q20" i="8"/>
  <c r="P20" i="8"/>
  <c r="O20" i="8"/>
  <c r="N20" i="8"/>
  <c r="M20" i="8"/>
  <c r="L20" i="8"/>
  <c r="T19" i="8"/>
  <c r="R19" i="8"/>
  <c r="Q19" i="8"/>
  <c r="P19" i="8"/>
  <c r="O19" i="8"/>
  <c r="N19" i="8"/>
  <c r="M19" i="8"/>
  <c r="L19" i="8"/>
  <c r="U22" i="8" s="1"/>
  <c r="T18" i="8"/>
  <c r="R18" i="8"/>
  <c r="Q18" i="8"/>
  <c r="P18" i="8"/>
  <c r="O18" i="8"/>
  <c r="N18" i="8"/>
  <c r="M18" i="8"/>
  <c r="L18" i="8"/>
  <c r="T17" i="8"/>
  <c r="R17" i="8"/>
  <c r="Q17" i="8"/>
  <c r="P17" i="8"/>
  <c r="O17" i="8"/>
  <c r="N17" i="8"/>
  <c r="M17" i="8"/>
  <c r="L17" i="8"/>
  <c r="T16" i="8"/>
  <c r="R16" i="8"/>
  <c r="Q16" i="8"/>
  <c r="P16" i="8"/>
  <c r="O16" i="8"/>
  <c r="N16" i="8"/>
  <c r="M16" i="8"/>
  <c r="L16" i="8"/>
  <c r="T15" i="8"/>
  <c r="R15" i="8"/>
  <c r="Q15" i="8"/>
  <c r="P15" i="8"/>
  <c r="O15" i="8"/>
  <c r="N15" i="8"/>
  <c r="M15" i="8"/>
  <c r="L15" i="8"/>
  <c r="U18" i="8" s="1"/>
  <c r="T14" i="8"/>
  <c r="R14" i="8"/>
  <c r="Q14" i="8"/>
  <c r="P14" i="8"/>
  <c r="O14" i="8"/>
  <c r="N14" i="8"/>
  <c r="M14" i="8"/>
  <c r="L14" i="8"/>
  <c r="T13" i="8"/>
  <c r="R13" i="8"/>
  <c r="Q13" i="8"/>
  <c r="P13" i="8"/>
  <c r="O13" i="8"/>
  <c r="N13" i="8"/>
  <c r="M13" i="8"/>
  <c r="L13" i="8"/>
  <c r="T12" i="8"/>
  <c r="R12" i="8"/>
  <c r="Q12" i="8"/>
  <c r="P12" i="8"/>
  <c r="O12" i="8"/>
  <c r="N12" i="8"/>
  <c r="M12" i="8"/>
  <c r="L12" i="8"/>
  <c r="U13" i="8" s="1"/>
  <c r="T11" i="8"/>
  <c r="R11" i="8"/>
  <c r="Q11" i="8"/>
  <c r="P11" i="8"/>
  <c r="O11" i="8"/>
  <c r="N11" i="8"/>
  <c r="M11" i="8"/>
  <c r="L11" i="8"/>
  <c r="T10" i="8"/>
  <c r="R10" i="8"/>
  <c r="Q10" i="8"/>
  <c r="P10" i="8"/>
  <c r="O10" i="8"/>
  <c r="N10" i="8"/>
  <c r="M10" i="8"/>
  <c r="L10" i="8"/>
  <c r="T9" i="8"/>
  <c r="R9" i="8"/>
  <c r="Q9" i="8"/>
  <c r="P9" i="8"/>
  <c r="O9" i="8"/>
  <c r="N9" i="8"/>
  <c r="M9" i="8"/>
  <c r="L9" i="8"/>
  <c r="V41" i="6"/>
  <c r="U41" i="6"/>
  <c r="T41" i="6"/>
  <c r="S41" i="6"/>
  <c r="R41" i="6"/>
  <c r="Q41" i="6"/>
  <c r="P41" i="6"/>
  <c r="O41" i="6"/>
  <c r="N41" i="6"/>
  <c r="M41" i="6"/>
  <c r="G41" i="6"/>
  <c r="B41" i="6"/>
  <c r="V40" i="6"/>
  <c r="U40" i="6"/>
  <c r="T40" i="6"/>
  <c r="S40" i="6"/>
  <c r="R40" i="6"/>
  <c r="Q40" i="6"/>
  <c r="P40" i="6"/>
  <c r="O40" i="6"/>
  <c r="N40" i="6"/>
  <c r="M40" i="6"/>
  <c r="G40" i="6"/>
  <c r="B40" i="6"/>
  <c r="V39" i="6"/>
  <c r="U39" i="6"/>
  <c r="T39" i="6"/>
  <c r="S39" i="6"/>
  <c r="R39" i="6"/>
  <c r="Q39" i="6"/>
  <c r="P39" i="6"/>
  <c r="O39" i="6"/>
  <c r="N39" i="6"/>
  <c r="M39" i="6"/>
  <c r="G39" i="6"/>
  <c r="B39" i="6"/>
  <c r="V38" i="6"/>
  <c r="U38" i="6"/>
  <c r="T38" i="6"/>
  <c r="S38" i="6"/>
  <c r="R38" i="6"/>
  <c r="Q38" i="6"/>
  <c r="P38" i="6"/>
  <c r="O38" i="6"/>
  <c r="N38" i="6"/>
  <c r="M38" i="6"/>
  <c r="G38" i="6"/>
  <c r="B38" i="6"/>
  <c r="V37" i="6"/>
  <c r="U37" i="6"/>
  <c r="T37" i="6"/>
  <c r="S37" i="6"/>
  <c r="R37" i="6"/>
  <c r="Q37" i="6"/>
  <c r="P37" i="6"/>
  <c r="O37" i="6"/>
  <c r="N37" i="6"/>
  <c r="M37" i="6"/>
  <c r="G37" i="6"/>
  <c r="B37" i="6"/>
  <c r="V36" i="6"/>
  <c r="U36" i="6"/>
  <c r="T36" i="6"/>
  <c r="S36" i="6"/>
  <c r="R36" i="6"/>
  <c r="Q36" i="6"/>
  <c r="P36" i="6"/>
  <c r="O36" i="6"/>
  <c r="N36" i="6"/>
  <c r="M36" i="6"/>
  <c r="G36" i="6"/>
  <c r="B36" i="6"/>
  <c r="V35" i="6"/>
  <c r="U35" i="6"/>
  <c r="T35" i="6"/>
  <c r="S35" i="6"/>
  <c r="R35" i="6"/>
  <c r="Q35" i="6"/>
  <c r="P35" i="6"/>
  <c r="O35" i="6"/>
  <c r="N35" i="6"/>
  <c r="M35" i="6"/>
  <c r="G35" i="6"/>
  <c r="B35" i="6"/>
  <c r="V34" i="6"/>
  <c r="U34" i="6"/>
  <c r="T34" i="6"/>
  <c r="S34" i="6"/>
  <c r="R34" i="6"/>
  <c r="Q34" i="6"/>
  <c r="P34" i="6"/>
  <c r="O34" i="6"/>
  <c r="N34" i="6"/>
  <c r="M34" i="6"/>
  <c r="G34" i="6"/>
  <c r="B34" i="6"/>
  <c r="V33" i="6"/>
  <c r="U33" i="6"/>
  <c r="T33" i="6"/>
  <c r="S33" i="6"/>
  <c r="R33" i="6"/>
  <c r="Q33" i="6"/>
  <c r="P33" i="6"/>
  <c r="O33" i="6"/>
  <c r="N33" i="6"/>
  <c r="M33" i="6"/>
  <c r="G33" i="6"/>
  <c r="B33" i="6"/>
  <c r="V32" i="6"/>
  <c r="U32" i="6"/>
  <c r="T32" i="6"/>
  <c r="S32" i="6"/>
  <c r="R32" i="6"/>
  <c r="Q32" i="6"/>
  <c r="P32" i="6"/>
  <c r="O32" i="6"/>
  <c r="N32" i="6"/>
  <c r="M32" i="6"/>
  <c r="G32" i="6"/>
  <c r="B32" i="6"/>
  <c r="V31" i="6"/>
  <c r="U31" i="6"/>
  <c r="T31" i="6"/>
  <c r="S31" i="6"/>
  <c r="R31" i="6"/>
  <c r="Q31" i="6"/>
  <c r="P31" i="6"/>
  <c r="O31" i="6"/>
  <c r="N31" i="6"/>
  <c r="M31" i="6"/>
  <c r="G31" i="6"/>
  <c r="B31" i="6"/>
  <c r="V30" i="6"/>
  <c r="U30" i="6"/>
  <c r="T30" i="6"/>
  <c r="S30" i="6"/>
  <c r="R30" i="6"/>
  <c r="Q30" i="6"/>
  <c r="P30" i="6"/>
  <c r="O30" i="6"/>
  <c r="N30" i="6"/>
  <c r="M30" i="6"/>
  <c r="G30" i="6"/>
  <c r="B30" i="6"/>
  <c r="V29" i="6"/>
  <c r="U29" i="6"/>
  <c r="T29" i="6"/>
  <c r="S29" i="6"/>
  <c r="R29" i="6"/>
  <c r="Q29" i="6"/>
  <c r="P29" i="6"/>
  <c r="O29" i="6"/>
  <c r="N29" i="6"/>
  <c r="M29" i="6"/>
  <c r="K29" i="6"/>
  <c r="J29" i="6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H29" i="6"/>
  <c r="G29" i="6"/>
  <c r="F29" i="6"/>
  <c r="C29" i="6"/>
  <c r="B29" i="6"/>
  <c r="V28" i="6"/>
  <c r="U28" i="6"/>
  <c r="T28" i="6"/>
  <c r="S28" i="6"/>
  <c r="R28" i="6"/>
  <c r="Q28" i="6"/>
  <c r="P28" i="6"/>
  <c r="O28" i="6"/>
  <c r="N28" i="6"/>
  <c r="M28" i="6"/>
  <c r="K28" i="6"/>
  <c r="J28" i="6"/>
  <c r="H28" i="6"/>
  <c r="G28" i="6"/>
  <c r="F28" i="6"/>
  <c r="C28" i="6"/>
  <c r="B28" i="6"/>
  <c r="V27" i="6"/>
  <c r="U27" i="6"/>
  <c r="T27" i="6"/>
  <c r="S27" i="6"/>
  <c r="R27" i="6"/>
  <c r="Q27" i="6"/>
  <c r="P27" i="6"/>
  <c r="O27" i="6"/>
  <c r="N27" i="6"/>
  <c r="M27" i="6"/>
  <c r="K27" i="6"/>
  <c r="J27" i="6"/>
  <c r="H27" i="6"/>
  <c r="G27" i="6"/>
  <c r="F27" i="6"/>
  <c r="C27" i="6"/>
  <c r="B27" i="6"/>
  <c r="V26" i="6"/>
  <c r="U26" i="6"/>
  <c r="T26" i="6"/>
  <c r="S26" i="6"/>
  <c r="R26" i="6"/>
  <c r="Q26" i="6"/>
  <c r="P26" i="6"/>
  <c r="O26" i="6"/>
  <c r="N26" i="6"/>
  <c r="M26" i="6"/>
  <c r="K26" i="6"/>
  <c r="K34" i="6" s="1"/>
  <c r="J26" i="6"/>
  <c r="H26" i="6"/>
  <c r="G26" i="6"/>
  <c r="F26" i="6"/>
  <c r="C26" i="6"/>
  <c r="D26" i="6" s="1"/>
  <c r="E26" i="6" s="1"/>
  <c r="B26" i="6"/>
  <c r="V25" i="6"/>
  <c r="U25" i="6"/>
  <c r="T25" i="6"/>
  <c r="S25" i="6"/>
  <c r="R25" i="6"/>
  <c r="Q25" i="6"/>
  <c r="P25" i="6"/>
  <c r="O25" i="6"/>
  <c r="N25" i="6"/>
  <c r="M25" i="6"/>
  <c r="K25" i="6"/>
  <c r="K33" i="6" s="1"/>
  <c r="J25" i="6"/>
  <c r="H25" i="6"/>
  <c r="I26" i="6" s="1"/>
  <c r="G25" i="6"/>
  <c r="F25" i="6"/>
  <c r="C25" i="6"/>
  <c r="B25" i="6"/>
  <c r="V24" i="6"/>
  <c r="U24" i="6"/>
  <c r="T24" i="6"/>
  <c r="S24" i="6"/>
  <c r="R24" i="6"/>
  <c r="Q24" i="6"/>
  <c r="P24" i="6"/>
  <c r="O24" i="6"/>
  <c r="N24" i="6"/>
  <c r="M24" i="6"/>
  <c r="K24" i="6"/>
  <c r="K32" i="6" s="1"/>
  <c r="J24" i="6"/>
  <c r="H24" i="6"/>
  <c r="G24" i="6"/>
  <c r="F24" i="6"/>
  <c r="C24" i="6"/>
  <c r="B24" i="6"/>
  <c r="V23" i="6"/>
  <c r="U23" i="6"/>
  <c r="T23" i="6"/>
  <c r="S23" i="6"/>
  <c r="R23" i="6"/>
  <c r="Q23" i="6"/>
  <c r="P23" i="6"/>
  <c r="O23" i="6"/>
  <c r="N23" i="6"/>
  <c r="M23" i="6"/>
  <c r="K23" i="6"/>
  <c r="K31" i="6" s="1"/>
  <c r="J23" i="6"/>
  <c r="H23" i="6"/>
  <c r="I24" i="6" s="1"/>
  <c r="G23" i="6"/>
  <c r="F23" i="6"/>
  <c r="C23" i="6"/>
  <c r="B23" i="6"/>
  <c r="V22" i="6"/>
  <c r="U22" i="6"/>
  <c r="T22" i="6"/>
  <c r="S22" i="6"/>
  <c r="R22" i="6"/>
  <c r="Q22" i="6"/>
  <c r="P22" i="6"/>
  <c r="O22" i="6"/>
  <c r="N22" i="6"/>
  <c r="M22" i="6"/>
  <c r="K22" i="6"/>
  <c r="K30" i="6" s="1"/>
  <c r="J22" i="6"/>
  <c r="H22" i="6"/>
  <c r="G22" i="6"/>
  <c r="F22" i="6"/>
  <c r="C22" i="6"/>
  <c r="B22" i="6"/>
  <c r="V21" i="6"/>
  <c r="U21" i="6"/>
  <c r="T21" i="6"/>
  <c r="S21" i="6"/>
  <c r="R21" i="6"/>
  <c r="Q21" i="6"/>
  <c r="P21" i="6"/>
  <c r="O21" i="6"/>
  <c r="N21" i="6"/>
  <c r="M21" i="6"/>
  <c r="K21" i="6"/>
  <c r="J21" i="6"/>
  <c r="H21" i="6"/>
  <c r="G21" i="6"/>
  <c r="F21" i="6"/>
  <c r="C21" i="6"/>
  <c r="B21" i="6"/>
  <c r="V20" i="6"/>
  <c r="U20" i="6"/>
  <c r="T20" i="6"/>
  <c r="S20" i="6"/>
  <c r="R20" i="6"/>
  <c r="Q20" i="6"/>
  <c r="P20" i="6"/>
  <c r="O20" i="6"/>
  <c r="N20" i="6"/>
  <c r="M20" i="6"/>
  <c r="K20" i="6"/>
  <c r="J20" i="6"/>
  <c r="H20" i="6"/>
  <c r="I21" i="6" s="1"/>
  <c r="G20" i="6"/>
  <c r="F20" i="6"/>
  <c r="C20" i="6"/>
  <c r="B20" i="6"/>
  <c r="V19" i="6"/>
  <c r="U19" i="6"/>
  <c r="T19" i="6"/>
  <c r="S19" i="6"/>
  <c r="R19" i="6"/>
  <c r="Q19" i="6"/>
  <c r="P19" i="6"/>
  <c r="O19" i="6"/>
  <c r="N19" i="6"/>
  <c r="M19" i="6"/>
  <c r="K19" i="6"/>
  <c r="L26" i="6" s="1"/>
  <c r="J19" i="6"/>
  <c r="H19" i="6"/>
  <c r="I20" i="6" s="1"/>
  <c r="G19" i="6"/>
  <c r="F19" i="6"/>
  <c r="C19" i="6"/>
  <c r="D19" i="6" s="1"/>
  <c r="E19" i="6" s="1"/>
  <c r="B19" i="6"/>
  <c r="V18" i="6"/>
  <c r="U18" i="6"/>
  <c r="T18" i="6"/>
  <c r="S18" i="6"/>
  <c r="R18" i="6"/>
  <c r="Q18" i="6"/>
  <c r="P18" i="6"/>
  <c r="O18" i="6"/>
  <c r="N18" i="6"/>
  <c r="M18" i="6"/>
  <c r="K18" i="6"/>
  <c r="J18" i="6"/>
  <c r="H18" i="6"/>
  <c r="G18" i="6"/>
  <c r="F18" i="6"/>
  <c r="C18" i="6"/>
  <c r="B18" i="6"/>
  <c r="K17" i="6"/>
  <c r="J17" i="6"/>
  <c r="H17" i="6"/>
  <c r="C17" i="6"/>
  <c r="J16" i="6"/>
  <c r="H16" i="6"/>
  <c r="C16" i="6"/>
  <c r="J15" i="6"/>
  <c r="H15" i="6"/>
  <c r="C15" i="6"/>
  <c r="J14" i="6"/>
  <c r="H14" i="6"/>
  <c r="C14" i="6"/>
  <c r="J13" i="6"/>
  <c r="H13" i="6"/>
  <c r="C13" i="6"/>
  <c r="J12" i="6"/>
  <c r="H12" i="6"/>
  <c r="C12" i="6"/>
  <c r="J11" i="6"/>
  <c r="H11" i="6"/>
  <c r="C11" i="6"/>
  <c r="J10" i="6"/>
  <c r="H10" i="6"/>
  <c r="C10" i="6"/>
  <c r="J9" i="6"/>
  <c r="H9" i="6"/>
  <c r="C9" i="6"/>
  <c r="J8" i="6"/>
  <c r="H8" i="6"/>
  <c r="C8" i="6"/>
  <c r="V41" i="5"/>
  <c r="U41" i="5"/>
  <c r="T41" i="5"/>
  <c r="S41" i="5"/>
  <c r="R41" i="5"/>
  <c r="Q41" i="5"/>
  <c r="P41" i="5"/>
  <c r="O41" i="5"/>
  <c r="N41" i="5"/>
  <c r="M41" i="5"/>
  <c r="G41" i="5"/>
  <c r="B41" i="5"/>
  <c r="V40" i="5"/>
  <c r="U40" i="5"/>
  <c r="T40" i="5"/>
  <c r="S40" i="5"/>
  <c r="R40" i="5"/>
  <c r="Q40" i="5"/>
  <c r="P40" i="5"/>
  <c r="O40" i="5"/>
  <c r="N40" i="5"/>
  <c r="M40" i="5"/>
  <c r="G40" i="5"/>
  <c r="B40" i="5"/>
  <c r="V39" i="5"/>
  <c r="U39" i="5"/>
  <c r="T39" i="5"/>
  <c r="S39" i="5"/>
  <c r="R39" i="5"/>
  <c r="Q39" i="5"/>
  <c r="P39" i="5"/>
  <c r="O39" i="5"/>
  <c r="N39" i="5"/>
  <c r="M39" i="5"/>
  <c r="G39" i="5"/>
  <c r="B39" i="5"/>
  <c r="V38" i="5"/>
  <c r="U38" i="5"/>
  <c r="T38" i="5"/>
  <c r="S38" i="5"/>
  <c r="R38" i="5"/>
  <c r="Q38" i="5"/>
  <c r="P38" i="5"/>
  <c r="O38" i="5"/>
  <c r="N38" i="5"/>
  <c r="M38" i="5"/>
  <c r="G38" i="5"/>
  <c r="B38" i="5"/>
  <c r="V37" i="5"/>
  <c r="U37" i="5"/>
  <c r="T37" i="5"/>
  <c r="S37" i="5"/>
  <c r="R37" i="5"/>
  <c r="Q37" i="5"/>
  <c r="P37" i="5"/>
  <c r="O37" i="5"/>
  <c r="N37" i="5"/>
  <c r="M37" i="5"/>
  <c r="G37" i="5"/>
  <c r="B37" i="5"/>
  <c r="V36" i="5"/>
  <c r="U36" i="5"/>
  <c r="T36" i="5"/>
  <c r="S36" i="5"/>
  <c r="R36" i="5"/>
  <c r="Q36" i="5"/>
  <c r="P36" i="5"/>
  <c r="O36" i="5"/>
  <c r="N36" i="5"/>
  <c r="M36" i="5"/>
  <c r="G36" i="5"/>
  <c r="B36" i="5"/>
  <c r="V35" i="5"/>
  <c r="U35" i="5"/>
  <c r="T35" i="5"/>
  <c r="S35" i="5"/>
  <c r="R35" i="5"/>
  <c r="Q35" i="5"/>
  <c r="P35" i="5"/>
  <c r="O35" i="5"/>
  <c r="N35" i="5"/>
  <c r="M35" i="5"/>
  <c r="G35" i="5"/>
  <c r="B35" i="5"/>
  <c r="V34" i="5"/>
  <c r="U34" i="5"/>
  <c r="T34" i="5"/>
  <c r="S34" i="5"/>
  <c r="R34" i="5"/>
  <c r="Q34" i="5"/>
  <c r="P34" i="5"/>
  <c r="O34" i="5"/>
  <c r="N34" i="5"/>
  <c r="M34" i="5"/>
  <c r="G34" i="5"/>
  <c r="B34" i="5"/>
  <c r="V33" i="5"/>
  <c r="U33" i="5"/>
  <c r="T33" i="5"/>
  <c r="S33" i="5"/>
  <c r="R33" i="5"/>
  <c r="Q33" i="5"/>
  <c r="P33" i="5"/>
  <c r="O33" i="5"/>
  <c r="N33" i="5"/>
  <c r="M33" i="5"/>
  <c r="G33" i="5"/>
  <c r="B33" i="5"/>
  <c r="V32" i="5"/>
  <c r="U32" i="5"/>
  <c r="T32" i="5"/>
  <c r="S32" i="5"/>
  <c r="R32" i="5"/>
  <c r="Q32" i="5"/>
  <c r="P32" i="5"/>
  <c r="O32" i="5"/>
  <c r="N32" i="5"/>
  <c r="M32" i="5"/>
  <c r="G32" i="5"/>
  <c r="B32" i="5"/>
  <c r="V31" i="5"/>
  <c r="U31" i="5"/>
  <c r="T31" i="5"/>
  <c r="S31" i="5"/>
  <c r="R31" i="5"/>
  <c r="Q31" i="5"/>
  <c r="P31" i="5"/>
  <c r="O31" i="5"/>
  <c r="N31" i="5"/>
  <c r="M31" i="5"/>
  <c r="G31" i="5"/>
  <c r="B31" i="5"/>
  <c r="V30" i="5"/>
  <c r="U30" i="5"/>
  <c r="T30" i="5"/>
  <c r="S30" i="5"/>
  <c r="R30" i="5"/>
  <c r="Q30" i="5"/>
  <c r="P30" i="5"/>
  <c r="O30" i="5"/>
  <c r="N30" i="5"/>
  <c r="M30" i="5"/>
  <c r="G30" i="5"/>
  <c r="B30" i="5"/>
  <c r="V29" i="5"/>
  <c r="U29" i="5"/>
  <c r="T29" i="5"/>
  <c r="S29" i="5"/>
  <c r="R29" i="5"/>
  <c r="Q29" i="5"/>
  <c r="P29" i="5"/>
  <c r="O29" i="5"/>
  <c r="N29" i="5"/>
  <c r="M29" i="5"/>
  <c r="G29" i="5"/>
  <c r="B29" i="5"/>
  <c r="V28" i="5"/>
  <c r="U28" i="5"/>
  <c r="T28" i="5"/>
  <c r="S28" i="5"/>
  <c r="R28" i="5"/>
  <c r="Q28" i="5"/>
  <c r="P28" i="5"/>
  <c r="O28" i="5"/>
  <c r="N28" i="5"/>
  <c r="M28" i="5"/>
  <c r="G28" i="5"/>
  <c r="B28" i="5"/>
  <c r="V27" i="5"/>
  <c r="U27" i="5"/>
  <c r="T27" i="5"/>
  <c r="S27" i="5"/>
  <c r="R27" i="5"/>
  <c r="Q27" i="5"/>
  <c r="P27" i="5"/>
  <c r="O27" i="5"/>
  <c r="N27" i="5"/>
  <c r="M27" i="5"/>
  <c r="G27" i="5"/>
  <c r="B27" i="5"/>
  <c r="V26" i="5"/>
  <c r="U26" i="5"/>
  <c r="T26" i="5"/>
  <c r="S26" i="5"/>
  <c r="R26" i="5"/>
  <c r="Q26" i="5"/>
  <c r="P26" i="5"/>
  <c r="O26" i="5"/>
  <c r="N26" i="5"/>
  <c r="M26" i="5"/>
  <c r="G26" i="5"/>
  <c r="B26" i="5"/>
  <c r="V25" i="5"/>
  <c r="U25" i="5"/>
  <c r="T25" i="5"/>
  <c r="S25" i="5"/>
  <c r="R25" i="5"/>
  <c r="Q25" i="5"/>
  <c r="P25" i="5"/>
  <c r="O25" i="5"/>
  <c r="N25" i="5"/>
  <c r="M25" i="5"/>
  <c r="K25" i="5"/>
  <c r="K33" i="5" s="1"/>
  <c r="G25" i="5"/>
  <c r="B25" i="5"/>
  <c r="V24" i="5"/>
  <c r="U24" i="5"/>
  <c r="T24" i="5"/>
  <c r="S24" i="5"/>
  <c r="R24" i="5"/>
  <c r="Q24" i="5"/>
  <c r="P24" i="5"/>
  <c r="O24" i="5"/>
  <c r="N24" i="5"/>
  <c r="M24" i="5"/>
  <c r="G24" i="5"/>
  <c r="B24" i="5"/>
  <c r="V23" i="5"/>
  <c r="U23" i="5"/>
  <c r="T23" i="5"/>
  <c r="S23" i="5"/>
  <c r="R23" i="5"/>
  <c r="Q23" i="5"/>
  <c r="P23" i="5"/>
  <c r="O23" i="5"/>
  <c r="N23" i="5"/>
  <c r="M23" i="5"/>
  <c r="G23" i="5"/>
  <c r="B23" i="5"/>
  <c r="V22" i="5"/>
  <c r="U22" i="5"/>
  <c r="T22" i="5"/>
  <c r="S22" i="5"/>
  <c r="R22" i="5"/>
  <c r="Q22" i="5"/>
  <c r="P22" i="5"/>
  <c r="O22" i="5"/>
  <c r="N22" i="5"/>
  <c r="M22" i="5"/>
  <c r="G22" i="5"/>
  <c r="B22" i="5"/>
  <c r="V21" i="5"/>
  <c r="U21" i="5"/>
  <c r="T21" i="5"/>
  <c r="S21" i="5"/>
  <c r="R21" i="5"/>
  <c r="Q21" i="5"/>
  <c r="P21" i="5"/>
  <c r="O21" i="5"/>
  <c r="N21" i="5"/>
  <c r="M21" i="5"/>
  <c r="K21" i="5"/>
  <c r="G21" i="5"/>
  <c r="B21" i="5"/>
  <c r="V20" i="5"/>
  <c r="U20" i="5"/>
  <c r="T20" i="5"/>
  <c r="S20" i="5"/>
  <c r="R20" i="5"/>
  <c r="Q20" i="5"/>
  <c r="P20" i="5"/>
  <c r="O20" i="5"/>
  <c r="N20" i="5"/>
  <c r="M20" i="5"/>
  <c r="G20" i="5"/>
  <c r="B20" i="5"/>
  <c r="V19" i="5"/>
  <c r="U19" i="5"/>
  <c r="T19" i="5"/>
  <c r="S19" i="5"/>
  <c r="R19" i="5"/>
  <c r="Q19" i="5"/>
  <c r="P19" i="5"/>
  <c r="O19" i="5"/>
  <c r="N19" i="5"/>
  <c r="M19" i="5"/>
  <c r="G19" i="5"/>
  <c r="B19" i="5"/>
  <c r="V18" i="5"/>
  <c r="U18" i="5"/>
  <c r="T18" i="5"/>
  <c r="S18" i="5"/>
  <c r="R18" i="5"/>
  <c r="Q18" i="5"/>
  <c r="P18" i="5"/>
  <c r="O18" i="5"/>
  <c r="N18" i="5"/>
  <c r="M18" i="5"/>
  <c r="G18" i="5"/>
  <c r="B18" i="5"/>
  <c r="K17" i="5"/>
  <c r="J17" i="5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I17" i="5"/>
  <c r="H17" i="5"/>
  <c r="G17" i="5"/>
  <c r="F17" i="5"/>
  <c r="C17" i="5"/>
  <c r="K16" i="5"/>
  <c r="K24" i="5" s="1"/>
  <c r="J16" i="5"/>
  <c r="I16" i="5"/>
  <c r="H16" i="5"/>
  <c r="G16" i="5"/>
  <c r="F16" i="5"/>
  <c r="C16" i="5"/>
  <c r="K15" i="5"/>
  <c r="K23" i="5" s="1"/>
  <c r="J15" i="5"/>
  <c r="I15" i="5"/>
  <c r="H15" i="5"/>
  <c r="G15" i="5"/>
  <c r="F15" i="5"/>
  <c r="C15" i="5"/>
  <c r="K14" i="5"/>
  <c r="K22" i="5" s="1"/>
  <c r="J14" i="5"/>
  <c r="I14" i="5"/>
  <c r="H14" i="5"/>
  <c r="G14" i="5"/>
  <c r="F14" i="5"/>
  <c r="C14" i="5"/>
  <c r="K13" i="5"/>
  <c r="J13" i="5"/>
  <c r="I13" i="5"/>
  <c r="H13" i="5"/>
  <c r="G13" i="5"/>
  <c r="F13" i="5"/>
  <c r="C13" i="5"/>
  <c r="J12" i="5"/>
  <c r="H12" i="5"/>
  <c r="C12" i="5"/>
  <c r="J11" i="5"/>
  <c r="H11" i="5"/>
  <c r="C11" i="5"/>
  <c r="J10" i="5"/>
  <c r="H10" i="5"/>
  <c r="C10" i="5"/>
  <c r="J9" i="5"/>
  <c r="H9" i="5"/>
  <c r="C9" i="5"/>
  <c r="J8" i="5"/>
  <c r="H8" i="5"/>
  <c r="C8" i="5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L23" i="6" l="1"/>
  <c r="U21" i="8"/>
  <c r="U20" i="8"/>
  <c r="U19" i="8"/>
  <c r="S22" i="8"/>
  <c r="S21" i="8"/>
  <c r="U12" i="8"/>
  <c r="D20" i="6"/>
  <c r="E20" i="6" s="1"/>
  <c r="D21" i="6"/>
  <c r="E21" i="6" s="1"/>
  <c r="I29" i="6"/>
  <c r="D28" i="6"/>
  <c r="E28" i="6" s="1"/>
  <c r="D27" i="6"/>
  <c r="E27" i="6" s="1"/>
  <c r="D25" i="6"/>
  <c r="E25" i="6" s="1"/>
  <c r="I25" i="6"/>
  <c r="D24" i="6"/>
  <c r="E24" i="6" s="1"/>
  <c r="D23" i="6"/>
  <c r="E23" i="6" s="1"/>
  <c r="D22" i="6"/>
  <c r="E22" i="6" s="1"/>
  <c r="L25" i="6"/>
  <c r="D18" i="6"/>
  <c r="E18" i="6" s="1"/>
  <c r="L24" i="6"/>
  <c r="D17" i="6"/>
  <c r="D16" i="6"/>
  <c r="D15" i="6"/>
  <c r="D14" i="6"/>
  <c r="D13" i="6"/>
  <c r="D12" i="6"/>
  <c r="D11" i="6"/>
  <c r="D10" i="6"/>
  <c r="D9" i="6"/>
  <c r="D16" i="5"/>
  <c r="D15" i="5"/>
  <c r="D14" i="5"/>
  <c r="D13" i="5"/>
  <c r="D12" i="5"/>
  <c r="D11" i="5"/>
  <c r="D10" i="5"/>
  <c r="D9" i="5"/>
  <c r="S25" i="8"/>
  <c r="S24" i="8"/>
  <c r="S23" i="8"/>
  <c r="K15" i="6"/>
  <c r="U24" i="8"/>
  <c r="U23" i="8"/>
  <c r="U25" i="8"/>
  <c r="I12" i="6"/>
  <c r="I12" i="5"/>
  <c r="K12" i="6"/>
  <c r="L19" i="6" s="1"/>
  <c r="K12" i="5"/>
  <c r="G12" i="6"/>
  <c r="G12" i="5"/>
  <c r="F12" i="6"/>
  <c r="F12" i="5"/>
  <c r="I11" i="5"/>
  <c r="I11" i="6"/>
  <c r="K11" i="6"/>
  <c r="L18" i="6" s="1"/>
  <c r="K11" i="5"/>
  <c r="G11" i="5"/>
  <c r="G11" i="6"/>
  <c r="F11" i="5"/>
  <c r="F11" i="6"/>
  <c r="I10" i="6"/>
  <c r="I10" i="5"/>
  <c r="K10" i="5"/>
  <c r="K18" i="5" s="1"/>
  <c r="K10" i="6"/>
  <c r="G10" i="6"/>
  <c r="G10" i="5"/>
  <c r="F10" i="6"/>
  <c r="F10" i="5"/>
  <c r="I9" i="6"/>
  <c r="I9" i="5"/>
  <c r="K9" i="6"/>
  <c r="K9" i="5"/>
  <c r="G9" i="6"/>
  <c r="G9" i="5"/>
  <c r="F9" i="6"/>
  <c r="F9" i="5"/>
  <c r="I8" i="6"/>
  <c r="I8" i="5"/>
  <c r="K8" i="6"/>
  <c r="K8" i="5"/>
  <c r="G8" i="5"/>
  <c r="G8" i="6"/>
  <c r="F8" i="6"/>
  <c r="F8" i="5"/>
  <c r="U14" i="8"/>
  <c r="U15" i="8"/>
  <c r="U16" i="8"/>
  <c r="U17" i="8"/>
  <c r="S17" i="8"/>
  <c r="S16" i="8"/>
  <c r="S18" i="8"/>
  <c r="S20" i="8"/>
  <c r="S19" i="8"/>
  <c r="K41" i="6"/>
  <c r="K40" i="6"/>
  <c r="K39" i="6"/>
  <c r="K37" i="6"/>
  <c r="H30" i="6"/>
  <c r="I30" i="6" s="1"/>
  <c r="C30" i="6"/>
  <c r="D29" i="6"/>
  <c r="E29" i="6" s="1"/>
  <c r="K36" i="6"/>
  <c r="L28" i="6"/>
  <c r="L33" i="6"/>
  <c r="L32" i="6"/>
  <c r="L29" i="6"/>
  <c r="L31" i="6"/>
  <c r="K35" i="6"/>
  <c r="L37" i="6" s="1"/>
  <c r="L27" i="6"/>
  <c r="L34" i="6"/>
  <c r="I27" i="6"/>
  <c r="I28" i="6"/>
  <c r="K38" i="6"/>
  <c r="I23" i="6"/>
  <c r="I22" i="6"/>
  <c r="I18" i="6"/>
  <c r="I19" i="6"/>
  <c r="K41" i="5"/>
  <c r="K31" i="5"/>
  <c r="K30" i="5"/>
  <c r="K29" i="5"/>
  <c r="H18" i="5"/>
  <c r="I18" i="5" s="1"/>
  <c r="D17" i="5"/>
  <c r="C18" i="5"/>
  <c r="K32" i="5"/>
  <c r="L30" i="6"/>
  <c r="L14" i="5" l="1"/>
  <c r="L14" i="6"/>
  <c r="L13" i="5"/>
  <c r="L13" i="6"/>
  <c r="L17" i="5"/>
  <c r="L17" i="6"/>
  <c r="L16" i="5"/>
  <c r="L16" i="6"/>
  <c r="L15" i="5"/>
  <c r="L15" i="6"/>
  <c r="L20" i="6"/>
  <c r="L21" i="6"/>
  <c r="L22" i="6"/>
  <c r="K20" i="5"/>
  <c r="L18" i="5"/>
  <c r="K19" i="5"/>
  <c r="L19" i="5" s="1"/>
  <c r="K26" i="5"/>
  <c r="L22" i="5"/>
  <c r="L24" i="5"/>
  <c r="L23" i="5"/>
  <c r="L9" i="5"/>
  <c r="L9" i="6"/>
  <c r="L8" i="5"/>
  <c r="L8" i="6"/>
  <c r="L10" i="5"/>
  <c r="L10" i="6"/>
  <c r="L12" i="5"/>
  <c r="L12" i="6"/>
  <c r="L11" i="5"/>
  <c r="L11" i="6"/>
  <c r="H31" i="6"/>
  <c r="I31" i="6" s="1"/>
  <c r="D30" i="6"/>
  <c r="E30" i="6" s="1"/>
  <c r="F30" i="6" s="1"/>
  <c r="C31" i="6"/>
  <c r="K39" i="5"/>
  <c r="K38" i="5"/>
  <c r="K37" i="5"/>
  <c r="H19" i="5"/>
  <c r="I19" i="5" s="1"/>
  <c r="D18" i="5"/>
  <c r="E18" i="5" s="1"/>
  <c r="F18" i="5" s="1"/>
  <c r="C19" i="5"/>
  <c r="K40" i="5"/>
  <c r="L41" i="6"/>
  <c r="L40" i="6"/>
  <c r="L38" i="6"/>
  <c r="L35" i="6"/>
  <c r="L39" i="6"/>
  <c r="L36" i="6"/>
  <c r="L25" i="5" l="1"/>
  <c r="L20" i="5"/>
  <c r="L21" i="5"/>
  <c r="K28" i="5"/>
  <c r="L26" i="5"/>
  <c r="K27" i="5"/>
  <c r="L28" i="5"/>
  <c r="L31" i="5"/>
  <c r="L30" i="5"/>
  <c r="L32" i="5"/>
  <c r="L33" i="5"/>
  <c r="K34" i="5"/>
  <c r="H32" i="6"/>
  <c r="I32" i="6" s="1"/>
  <c r="D31" i="6"/>
  <c r="E31" i="6" s="1"/>
  <c r="F31" i="6" s="1"/>
  <c r="C32" i="6"/>
  <c r="H20" i="5"/>
  <c r="I20" i="5" s="1"/>
  <c r="D19" i="5"/>
  <c r="E19" i="5" s="1"/>
  <c r="F19" i="5" s="1"/>
  <c r="C20" i="5"/>
  <c r="K36" i="5" l="1"/>
  <c r="K35" i="5"/>
  <c r="L34" i="5"/>
  <c r="L38" i="5"/>
  <c r="L37" i="5"/>
  <c r="L40" i="5"/>
  <c r="L41" i="5"/>
  <c r="H33" i="6"/>
  <c r="I33" i="6" s="1"/>
  <c r="D32" i="6"/>
  <c r="E32" i="6" s="1"/>
  <c r="F32" i="6" s="1"/>
  <c r="C33" i="6"/>
  <c r="H21" i="5"/>
  <c r="I21" i="5" s="1"/>
  <c r="D20" i="5"/>
  <c r="E20" i="5" s="1"/>
  <c r="F20" i="5" s="1"/>
  <c r="C21" i="5"/>
  <c r="L27" i="5"/>
  <c r="L29" i="5"/>
  <c r="H34" i="6" l="1"/>
  <c r="I34" i="6" s="1"/>
  <c r="D33" i="6"/>
  <c r="E33" i="6" s="1"/>
  <c r="F33" i="6" s="1"/>
  <c r="C34" i="6"/>
  <c r="H22" i="5"/>
  <c r="I22" i="5" s="1"/>
  <c r="C22" i="5"/>
  <c r="D21" i="5"/>
  <c r="E21" i="5" s="1"/>
  <c r="F21" i="5" s="1"/>
  <c r="L36" i="5"/>
  <c r="L39" i="5"/>
  <c r="L35" i="5"/>
  <c r="H35" i="6" l="1"/>
  <c r="I35" i="6" s="1"/>
  <c r="D34" i="6"/>
  <c r="E34" i="6" s="1"/>
  <c r="F34" i="6" s="1"/>
  <c r="C35" i="6"/>
  <c r="H23" i="5"/>
  <c r="I23" i="5" s="1"/>
  <c r="C23" i="5"/>
  <c r="D22" i="5"/>
  <c r="E22" i="5" s="1"/>
  <c r="F22" i="5" s="1"/>
  <c r="H36" i="6" l="1"/>
  <c r="I36" i="6"/>
  <c r="D35" i="6"/>
  <c r="E35" i="6" s="1"/>
  <c r="F35" i="6" s="1"/>
  <c r="C36" i="6"/>
  <c r="H24" i="5"/>
  <c r="I24" i="5" s="1"/>
  <c r="D23" i="5"/>
  <c r="E23" i="5" s="1"/>
  <c r="F23" i="5" s="1"/>
  <c r="C24" i="5"/>
  <c r="H37" i="6" l="1"/>
  <c r="I37" i="6"/>
  <c r="D36" i="6"/>
  <c r="E36" i="6" s="1"/>
  <c r="F36" i="6" s="1"/>
  <c r="C37" i="6"/>
  <c r="H25" i="5"/>
  <c r="I25" i="5" s="1"/>
  <c r="D24" i="5"/>
  <c r="E24" i="5" s="1"/>
  <c r="F24" i="5" s="1"/>
  <c r="C25" i="5"/>
  <c r="H38" i="6" l="1"/>
  <c r="I38" i="6" s="1"/>
  <c r="C38" i="6"/>
  <c r="D37" i="6"/>
  <c r="E37" i="6" s="1"/>
  <c r="F37" i="6" s="1"/>
  <c r="H26" i="5"/>
  <c r="I26" i="5" s="1"/>
  <c r="D25" i="5"/>
  <c r="E25" i="5" s="1"/>
  <c r="F25" i="5" s="1"/>
  <c r="C26" i="5"/>
  <c r="H39" i="6" l="1"/>
  <c r="I39" i="6"/>
  <c r="D38" i="6"/>
  <c r="E38" i="6" s="1"/>
  <c r="F38" i="6" s="1"/>
  <c r="C39" i="6"/>
  <c r="H27" i="5"/>
  <c r="I27" i="5"/>
  <c r="C27" i="5"/>
  <c r="D26" i="5"/>
  <c r="E26" i="5" s="1"/>
  <c r="F26" i="5" s="1"/>
  <c r="H40" i="6" l="1"/>
  <c r="I40" i="6"/>
  <c r="D39" i="6"/>
  <c r="E39" i="6" s="1"/>
  <c r="F39" i="6" s="1"/>
  <c r="C40" i="6"/>
  <c r="H28" i="5"/>
  <c r="I28" i="5" s="1"/>
  <c r="D27" i="5"/>
  <c r="E27" i="5" s="1"/>
  <c r="F27" i="5" s="1"/>
  <c r="C28" i="5"/>
  <c r="H41" i="6" l="1"/>
  <c r="I41" i="6" s="1"/>
  <c r="D40" i="6"/>
  <c r="E40" i="6" s="1"/>
  <c r="F40" i="6" s="1"/>
  <c r="C41" i="6"/>
  <c r="D41" i="6" s="1"/>
  <c r="E41" i="6" s="1"/>
  <c r="F41" i="6" s="1"/>
  <c r="H29" i="5"/>
  <c r="I29" i="5"/>
  <c r="D28" i="5"/>
  <c r="E28" i="5" s="1"/>
  <c r="F28" i="5" s="1"/>
  <c r="C29" i="5"/>
  <c r="H30" i="5" l="1"/>
  <c r="I30" i="5" s="1"/>
  <c r="D29" i="5"/>
  <c r="E29" i="5" s="1"/>
  <c r="F29" i="5" s="1"/>
  <c r="C30" i="5"/>
  <c r="H31" i="5" l="1"/>
  <c r="I31" i="5"/>
  <c r="D30" i="5"/>
  <c r="E30" i="5" s="1"/>
  <c r="F30" i="5" s="1"/>
  <c r="C31" i="5"/>
  <c r="H32" i="5" l="1"/>
  <c r="I32" i="5" s="1"/>
  <c r="D31" i="5"/>
  <c r="E31" i="5" s="1"/>
  <c r="F31" i="5" s="1"/>
  <c r="C32" i="5"/>
  <c r="H33" i="5" l="1"/>
  <c r="I33" i="5" s="1"/>
  <c r="D32" i="5"/>
  <c r="E32" i="5" s="1"/>
  <c r="F32" i="5" s="1"/>
  <c r="C33" i="5"/>
  <c r="H34" i="5" l="1"/>
  <c r="I34" i="5" s="1"/>
  <c r="D33" i="5"/>
  <c r="E33" i="5" s="1"/>
  <c r="F33" i="5" s="1"/>
  <c r="C34" i="5"/>
  <c r="H35" i="5" l="1"/>
  <c r="I35" i="5" s="1"/>
  <c r="D34" i="5"/>
  <c r="E34" i="5" s="1"/>
  <c r="F34" i="5" s="1"/>
  <c r="C35" i="5"/>
  <c r="H36" i="5" l="1"/>
  <c r="I36" i="5"/>
  <c r="D35" i="5"/>
  <c r="E35" i="5" s="1"/>
  <c r="F35" i="5" s="1"/>
  <c r="C36" i="5"/>
  <c r="H37" i="5" l="1"/>
  <c r="I37" i="5" s="1"/>
  <c r="D36" i="5"/>
  <c r="E36" i="5" s="1"/>
  <c r="F36" i="5" s="1"/>
  <c r="C37" i="5"/>
  <c r="H38" i="5" l="1"/>
  <c r="I38" i="5" s="1"/>
  <c r="D37" i="5"/>
  <c r="E37" i="5" s="1"/>
  <c r="F37" i="5" s="1"/>
  <c r="C38" i="5"/>
  <c r="H39" i="5" l="1"/>
  <c r="I39" i="5"/>
  <c r="D38" i="5"/>
  <c r="E38" i="5" s="1"/>
  <c r="F38" i="5" s="1"/>
  <c r="C39" i="5"/>
  <c r="H40" i="5" l="1"/>
  <c r="I40" i="5" s="1"/>
  <c r="D39" i="5"/>
  <c r="E39" i="5" s="1"/>
  <c r="F39" i="5" s="1"/>
  <c r="C40" i="5"/>
  <c r="H41" i="5" l="1"/>
  <c r="I41" i="5" s="1"/>
  <c r="D40" i="5"/>
  <c r="E40" i="5" s="1"/>
  <c r="F40" i="5" s="1"/>
  <c r="C41" i="5"/>
  <c r="D41" i="5" s="1"/>
  <c r="E41" i="5" s="1"/>
  <c r="F4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Phase 5</author>
  </authors>
  <commentList>
    <comment ref="C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Brent crude oil [US$/bbl, quarterly average]
Level. Blank = carried forward from the previous quarter.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CPI energy: override of the oil bridge (optional) [% change q/q, annualised]
Compounded annualised % change of the CPI energy index. If filled it replaces the oil-based path for that quarter. Blank = oil bridge.</t>
        </r>
      </text>
    </comment>
    <comment ref="E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CPI food [% change q/q, annualised]
Compounded annualised % change of the CPI food index. Blank = wage-linked: food prices rise with wages (relative food price unchanged).</t>
        </r>
      </text>
    </comment>
    <comment ref="F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GSCPI (supply-chain pressure) [std devs, quarterly mean]
Level. Blank = AR(1) mean reversion from the previous quarter.</t>
        </r>
      </text>
    </comment>
    <comment ref="G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Labour-market tightness V/U [job openings per unemployed]
Level. Blank = carried forward from the previous quarter.</t>
        </r>
      </text>
    </comment>
    <comment ref="H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Nonfarm productivity growth [% change q/q, annualised]
Compounded annualised % change. Blank = trend held (growth equal to 8 quarters earlier).</t>
        </r>
      </text>
    </comment>
    <comment ref="I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Add-factor: wage equation [pp, annualised]
Added to the wage-growth equation. Blank = 0.</t>
        </r>
      </text>
    </comment>
    <comment ref="J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Add-factor: CPI equation [pp, annualised]
Added to the CPI-inflation equation. Blank = 0.</t>
        </r>
      </text>
    </comment>
    <comment ref="K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Add-factor: 10y expectations eq. [pp of % per year]
Added to the long-run expectations equation. Blank = 0.</t>
        </r>
      </text>
    </comment>
    <comment ref="L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Add-factor: 1y expectations eq. [pp of % per year]
Added to the short-run expectations equation. Blank =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Phase 5</author>
  </authors>
  <commentList>
    <comment ref="C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Brent crude oil [US$/bbl, quarterly average]
Level. Blank = carried forward from the previous quarter.</t>
        </r>
      </text>
    </comment>
    <comment ref="D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CPI energy: override of the oil bridge (optional) [% change q/q, annualised]
Compounded annualised % change of the CPI energy index. If filled it replaces the oil-based path for that quarter. Blank = oil bridge.</t>
        </r>
      </text>
    </comment>
    <comment ref="E6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CPI food [% change q/q, annualised]
Compounded annualised % change of the CPI food index. Blank = wage-linked: food prices rise with wages (relative food price unchanged).</t>
        </r>
      </text>
    </comment>
    <comment ref="F6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GSCPI (supply-chain pressure) [std devs, quarterly mean]
Level. Blank = AR(1) mean reversion from the previous quarter.</t>
        </r>
      </text>
    </comment>
    <comment ref="G6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Labour-market tightness V/U [job openings per unemployed]
Level. Blank = carried forward from the previous quarter.</t>
        </r>
      </text>
    </comment>
    <comment ref="H6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Nonfarm productivity growth [% change q/q, annualised]
Compounded annualised % change. Blank = trend held (growth equal to 8 quarters earlier).</t>
        </r>
      </text>
    </comment>
    <comment ref="I6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Add-factor: wage equation [pp, annualised]
Added to the wage-growth equation. Blank = 0.</t>
        </r>
      </text>
    </comment>
    <comment ref="J6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Add-factor: CPI equation [pp, annualised]
Added to the CPI-inflation equation. Blank = 0.</t>
        </r>
      </text>
    </comment>
    <comment ref="K6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Add-factor: 10y expectations eq. [pp of % per year]
Added to the long-run expectations equation. Blank = 0.</t>
        </r>
      </text>
    </comment>
    <comment ref="L6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Add-factor: 1y expectations eq. [pp of % per year]
Added to the short-run expectations equation. Blank = 0.</t>
        </r>
      </text>
    </comment>
  </commentList>
</comments>
</file>

<file path=xl/sharedStrings.xml><?xml version="1.0" encoding="utf-8"?>
<sst xmlns="http://schemas.openxmlformats.org/spreadsheetml/2006/main" count="777" uniqueCount="361">
  <si>
    <t>Phase 5: Model B* inflation forecasting workbook (origin 2023Q2)</t>
  </si>
  <si>
    <t>What this is</t>
  </si>
  <si>
    <t>The editable assumptions for the Model B* forecasting engine. You enter assumptions in everyday units (Brent in US$/bbl, annualised % changes, levels); the engine converts them into the exact variables the estimated equations use. Coefficients are fixed (estimated on 1990Q1-2023Q2) and are never re-estimated when you change an assumption.</t>
  </si>
  <si>
    <t>How to run</t>
  </si>
  <si>
    <t>Edit Inputs_A and/or Inputs_B (and Settings!forecast_end), save, then from the phase5 folder run:
python p5_forecast_engine.py --workbook Phase5_Assumptions.xlsx --scenario A --with-realised
python p5_forecast_engine.py --workbook Phase5_Assumptions.xlsx --scenario B --with-realised
Results are written to output/ (CSV and Excel with the transformed inputs the engine used and a log of every default rule applied).</t>
  </si>
  <si>
    <t>Exercise A</t>
  </si>
  <si>
    <t>Pseudo-real-time forecast: only information available at 2023Q2. All Inputs_A cells are blank, which applies the default rules (oil flat at its 2023Q2 level, V/U flat, GSCPI AR(1), trend productivity, food with wages).</t>
  </si>
  <si>
    <t>Exercise B</t>
  </si>
  <si>
    <t>Conditional forecast: the realised paths of the drivers (pre-filled in Inputs_B from the Realised sheet) with the same fixed coefficients. Wages and all four endogenous variables are still simulated.</t>
  </si>
  <si>
    <t>Colour legend</t>
  </si>
  <si>
    <t>LIGHT BLUE fill + RED text = cell you may edit (user-specified assumption; blank = default rule)
LIGHT GREEN fill = model-generated or transformed value (formulas; do not edit)
GREY fill = historical realised data (History: known at the origin; Realised: outturns after it, conditional analysis only)</t>
  </si>
  <si>
    <t>Sheets</t>
  </si>
  <si>
    <t>Inputs_A / Inputs_B: your assumptions, quarterly 2023Q3-2029Q2.
Model_Inputs_A / Model_Inputs_B: the transformed model inputs, so you can check that an assumption was interpreted as intended (e.g. Brent 80 becomes a log change, not the number 80).
Variables: units, transformations, transition rules and default for every input.
History / Realised: raw levels.
Settings, Aux_Models, Coefficients: model parameters (fixed).</t>
  </si>
  <si>
    <t>Key transformations</t>
  </si>
  <si>
    <t>Brent: 400*ln(P_t/P_(t-1)), then CPI-energy growth = const + b0*that (oil bridge). CPI energy, CPI food, productivity: annualised % -&gt; 100*ln(1+x/100) (= 400*ln of the quarterly ratio). GSCPI: 2-quarter trailing mean. V/U: level. Productivity trend: 8-quarter trailing mean. Relative prices grpe, grpf = nominal growth minus simulated wage growth (derived every quarter).</t>
  </si>
  <si>
    <t>Extending the horizon</t>
  </si>
  <si>
    <t>Set Settings!forecast_end up to 2029Q2 (three years beyond 2026Q2). Quarters without inputs use the default rules.</t>
  </si>
  <si>
    <t>Caveats</t>
  </si>
  <si>
    <t>Model B* is a reduced-form wage-price system estimated on revised data; oil, food, labour market, productivity and supply chains are exogenous here and the main source of forecast error. See METHODOLOGY_NOTE.md for the assessment and limitations.</t>
  </si>
  <si>
    <t>Data</t>
  </si>
  <si>
    <t>Current-vintage Macrobond data (Phase 3 pull pull_20261017T112636Z; oil p4_20261018T051241Z) truncated at 2023Q2 for estimation and history; outturns 2023Q3-2026Q2 from the same pull. Revised data, not real-time vintages (see METHODOLOGY_NOTE.md).</t>
  </si>
  <si>
    <t>Examples</t>
  </si>
  <si>
    <t>Editable example cell:</t>
  </si>
  <si>
    <t>model-generated example:</t>
  </si>
  <si>
    <t>historical realised example:</t>
  </si>
  <si>
    <t>Settings</t>
  </si>
  <si>
    <t>The engine reads this sheet. Light-blue/red cells may be edited.</t>
  </si>
  <si>
    <t>key</t>
  </si>
  <si>
    <t>origin</t>
  </si>
  <si>
    <t>2023Q2</t>
  </si>
  <si>
    <t>Forecast origin: last quarter of data used for coefficients and initial conditions (fixed).</t>
  </si>
  <si>
    <t>forecast_end</t>
  </si>
  <si>
    <t>2026Q2</t>
  </si>
  <si>
    <t>Last forecast quarter. Default 2026Q2 (end of the realised sample). Can be extended up to 2029Q2 (+3 years); the Inputs sheets already hold rows to 2029Q2.</t>
  </si>
  <si>
    <t>coef_file</t>
  </si>
  <si>
    <t>coefficients/Bstar_coefficients_2023Q2.csv</t>
  </si>
  <si>
    <t>Estimated Model B* coefficients (1990Q1-2023Q2), path relative to this workbook. Never re-estimated by the engine.</t>
  </si>
  <si>
    <t>model</t>
  </si>
  <si>
    <t>Model B* (four-equation SVAR-X)</t>
  </si>
  <si>
    <t>Authors' structure; GSCPI 2-quarter mean as the shortage term; Q2/Q3-2020 wage dummies (zero in forecasts).</t>
  </si>
  <si>
    <t>estimation_sample</t>
  </si>
  <si>
    <t>1990Q1-2023Q2</t>
  </si>
  <si>
    <t>Estimation window of every equation.</t>
  </si>
  <si>
    <t>data_vintage</t>
  </si>
  <si>
    <t>Data used for estimation and history.</t>
  </si>
  <si>
    <t>Exercise A: pseudo-real-time assumptions (information available at 2023Q2)</t>
  </si>
  <si>
    <t>Leave cells blank to use the documented default rule (see header notes and the Variables sheet). Everything blank = the pure pseudo-real-time baseline: oil flat at its 2023Q2 level, V/U flat, GSCPI mean-reverting, trend productivity, food with wages.</t>
  </si>
  <si>
    <t>brent</t>
  </si>
  <si>
    <t>cpie_qoq</t>
  </si>
  <si>
    <t>cpif_qoq</t>
  </si>
  <si>
    <t>gscpi</t>
  </si>
  <si>
    <t>vu</t>
  </si>
  <si>
    <t>prod_qoq</t>
  </si>
  <si>
    <t>af_gw</t>
  </si>
  <si>
    <t>af_gcpi</t>
  </si>
  <si>
    <t>af_cf10</t>
  </si>
  <si>
    <t>af_cf1</t>
  </si>
  <si>
    <t>Quarter</t>
  </si>
  <si>
    <t>Horizon status</t>
  </si>
  <si>
    <t>Brent crude oil</t>
  </si>
  <si>
    <t>CPI energy: override of the oil bridge (optional)</t>
  </si>
  <si>
    <t>CPI food</t>
  </si>
  <si>
    <t>GSCPI (supply-chain pressure)</t>
  </si>
  <si>
    <t>Labour-market tightness V/U</t>
  </si>
  <si>
    <t>Nonfarm productivity growth</t>
  </si>
  <si>
    <t>Add-factor: wage equation</t>
  </si>
  <si>
    <t>Add-factor: CPI equation</t>
  </si>
  <si>
    <t>Add-factor: 10y expectations eq.</t>
  </si>
  <si>
    <t>Add-factor: 1y expectations eq.</t>
  </si>
  <si>
    <t>Pre-fill source</t>
  </si>
  <si>
    <t>per Settings!forecast_end</t>
  </si>
  <si>
    <t>US$/bbl, quarterly average</t>
  </si>
  <si>
    <t>% change q/q, annualised</t>
  </si>
  <si>
    <t>std devs, quarterly mean</t>
  </si>
  <si>
    <t>job openings per unemployed</t>
  </si>
  <si>
    <t>pp, annualised</t>
  </si>
  <si>
    <t>pp of % per year</t>
  </si>
  <si>
    <t>2023Q3</t>
  </si>
  <si>
    <t>blank: default rule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</si>
  <si>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</si>
  <si>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</si>
  <si>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</si>
  <si>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</si>
  <si>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</si>
  <si>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</si>
  <si>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</si>
  <si>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</si>
  <si>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</si>
  <si>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</si>
  <si>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</si>
  <si>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</si>
  <si>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</si>
  <si>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</si>
  <si>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</si>
  <si>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</si>
  <si>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</si>
  <si>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</si>
  <si>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</si>
  <si>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</si>
  <si>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</si>
  <si>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</si>
  <si>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Exercise B: conditional assumptions (pre-filled with realised outturns through 2026Q2)</t>
  </si>
  <si>
    <t>Pre-filled from the Realised sheet (historical realised values, for conditional analysis only). Overwrite any cell to run a conditional scenario; clear a cell to fall back to the default rule. CPI-energy override takes precedence over Brent.</t>
  </si>
  <si>
    <t>Realised outturn (Realised sheet); overwrite to run a conditional scenario</t>
  </si>
  <si>
    <t>Model inputs actually used (Exercise A): transformed assumptions</t>
  </si>
  <si>
    <t>Light green = formulas. This is how the engine interprets Inputs_A (the engine recomputes the same transformations in Python; a test confirms they agree). Relative prices grpe = gE - gw and grpf = gF - gw need the simulated wage growth, so they are produced by the engine (see the engine's Model_Inputs_Engine sheet).</t>
  </si>
  <si>
    <t>Status</t>
  </si>
  <si>
    <t>Brent used</t>
  </si>
  <si>
    <t>Brent growth</t>
  </si>
  <si>
    <t>CPI energy growth from oil bridge</t>
  </si>
  <si>
    <t>CPI energy growth USED (model gE)</t>
  </si>
  <si>
    <t>CPI food growth USED (model gF)</t>
  </si>
  <si>
    <t>GSCPI used</t>
  </si>
  <si>
    <t>Shortage term (2-qtr mean)</t>
  </si>
  <si>
    <t>V/U used</t>
  </si>
  <si>
    <t>Productivity growth used</t>
  </si>
  <si>
    <t>Trend productivity magpty (8-qtr mean)</t>
  </si>
  <si>
    <t>Add-factor gw</t>
  </si>
  <si>
    <t>Add-factor gcpi</t>
  </si>
  <si>
    <t>Add-factor cf10</t>
  </si>
  <si>
    <t>Add-factor cf1</t>
  </si>
  <si>
    <t>Brent: source</t>
  </si>
  <si>
    <t>CPI energy: source</t>
  </si>
  <si>
    <t>CPI food: source</t>
  </si>
  <si>
    <t>GSCPI: source</t>
  </si>
  <si>
    <t>V/U: source</t>
  </si>
  <si>
    <t>Productivity: source</t>
  </si>
  <si>
    <t>US$/bbl</t>
  </si>
  <si>
    <t>400*dln</t>
  </si>
  <si>
    <t>std devs</t>
  </si>
  <si>
    <t>ratio</t>
  </si>
  <si>
    <t>pp</t>
  </si>
  <si>
    <t>2021Q1</t>
  </si>
  <si>
    <t>History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</si>
  <si>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</si>
  <si>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</si>
  <si>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</si>
  <si>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</si>
  <si>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</si>
  <si>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</si>
  <si>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</si>
  <si>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</si>
  <si>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Model inputs actually used (Exercise B): transformed assumptions</t>
  </si>
  <si>
    <t>Light green = formulas. This is how the engine interprets Inputs_B (the engine recomputes the same transformations in Python; a test confirms they agree). Relative prices grpe = gE - gw and grpf = gF - gw need the simulated wage growth, so they are produced by the engine (see the engine's Model_Inputs_Engine sheet).</t>
  </si>
  <si>
    <t>Variables: every exogenous input of Model B*, its units, transformation and treatment</t>
  </si>
  <si>
    <t>Category: USER = user-specified assumption (blue/red cells); MODEL = model-generated projection; REALISED = historical realised value (conditional analysis only).</t>
  </si>
  <si>
    <t>Variable (Model B* name)</t>
  </si>
  <si>
    <t>Role in Model B*</t>
  </si>
  <si>
    <t>Category</t>
  </si>
  <si>
    <t>User unit (workbook)</t>
  </si>
  <si>
    <t>Model unit and scaling</t>
  </si>
  <si>
    <t>Transformation (engine = Model_Inputs sheet)</t>
  </si>
  <si>
    <t>Historical-to-forecast transition</t>
  </si>
  <si>
    <t>If left blank (default rule)</t>
  </si>
  <si>
    <t>Equation(s) and lags</t>
  </si>
  <si>
    <t>Driver of CPI energy through the oil bridge (not itself a Model B* regressor)</t>
  </si>
  <si>
    <t>USER (Exercise B: pre-filled REALISED)</t>
  </si>
  <si>
    <t>US$ per barrel, quarterly average level</t>
  </si>
  <si>
    <t>gBrent = 400*dln(Brent), % points annualised</t>
  </si>
  <si>
    <t>gBrent_t = 400*LN(P_t/P_(t-1)); CPI-energy growth gE_t = 1.869 + 0.304*gBrent_t (bridge estimated 1990Q2-2023Q2). Entering 80 uses ln(80/previous level), never 80.</t>
  </si>
  <si>
    <t>First forecast quarter uses the 2023Q2 average (History) as P_(t-1).</t>
  </si>
  <si>
    <t>Carried forward from the previous quarter (first quarter: 2023Q2 average).</t>
  </si>
  <si>
    <t>Enters the CPI equation via grpe (lags 0-4)</t>
  </si>
  <si>
    <t>CPI energy (override)</t>
  </si>
  <si>
    <t>grpe = relative price of energy (CPI energy / ECI wages), growth</t>
  </si>
  <si>
    <t>USER (optional; Exercise B: pre-filled REALISED)</t>
  </si>
  <si>
    <t>% change q/q, annualised (compounded)</t>
  </si>
  <si>
    <t>gE = 400*dln(CPI energy) = 100*ln(1 + x/100)</t>
  </si>
  <si>
    <t>gE_t = 100*LN(1 + x/100); then grpe_t = gE_t - gw_t, computed every quarter from simulated wage growth (wages are endogenous, so the relative price is an OUTPUT).</t>
  </si>
  <si>
    <t>Quarter-end index convention; history grpe from History.</t>
  </si>
  <si>
    <t>Oil bridge applied to the Brent path.</t>
  </si>
  <si>
    <t>Price equation: grpe lags 0-4</t>
  </si>
  <si>
    <t>grpf = relative price of food, growth</t>
  </si>
  <si>
    <t>gF = 400*dln(CPI food) = 100*ln(1 + x/100)</t>
  </si>
  <si>
    <t>gF_t = 100*LN(1 + x/100); grpf_t = gF_t - gw_t (derived each quarter).</t>
  </si>
  <si>
    <t>History grpf from History.</t>
  </si>
  <si>
    <t>Wage-linked: nominal food grows with simulated wages, i.e. grpf = 0 (the authors' neutral convention).</t>
  </si>
  <si>
    <t>Price equation: grpf lags 0-4</t>
  </si>
  <si>
    <t>shortagema2 = shortage term of the price equation</t>
  </si>
  <si>
    <t>Standard deviations, quarterly mean level</t>
  </si>
  <si>
    <t>level (std devs)</t>
  </si>
  <si>
    <t>shortagema2_t = (GSCPI_t + GSCPI_(t-1)) / 2 (two-quarter trailing mean)</t>
  </si>
  <si>
    <t>GSCPI_(t-1) for the first forecast quarter is the 2023Q2 value in History.</t>
  </si>
  <si>
    <t>AR(1): GSCPI_t = -0.0076 + 0.861*GSCPI_(t-1) (estimated 1998Q1-2023Q2).</t>
  </si>
  <si>
    <t>Price equation: shortagema2 lag 0</t>
  </si>
  <si>
    <t>USER (Exercise B: pre-filled REALISED; 2025Q4 bridged)</t>
  </si>
  <si>
    <t>Job openings per unemployed worker (ratio)</t>
  </si>
  <si>
    <t>level (ratio)</t>
  </si>
  <si>
    <t>none (used as entered)</t>
  </si>
  <si>
    <t>Lags 1-4 use History for the first forecast quarters: V/U affects wages with a one-quarter delay.</t>
  </si>
  <si>
    <t>Carried forward from the previous quarter (first quarter: 2023Q2 value).</t>
  </si>
  <si>
    <t>Wage equation: vu lags 1-4</t>
  </si>
  <si>
    <t>Productivity growth (nonfarm business, output per hour)</t>
  </si>
  <si>
    <t>magpty = trend productivity growth</t>
  </si>
  <si>
    <t>gpty = 400*dln(productivity); magpty = 8-quarter trailing mean of gpty</t>
  </si>
  <si>
    <t>gpty_t = 100*LN(1 + x/100); magpty_t = AVERAGE(gpty_(t-7..t))</t>
  </si>
  <si>
    <t>The 8-quarter window is filled from History (2021Q3-2023Q2) and rolls forward.</t>
  </si>
  <si>
    <t>Trend held: gpty_t = gpty_(t-8), so magpty stays at its 2023Q2 value.</t>
  </si>
  <si>
    <t>Wage equation: magpty lag 1; price equation: magpty lag 0</t>
  </si>
  <si>
    <t>Equation add-factors (4)</t>
  </si>
  <si>
    <t>Intercept shifts / residual overrides</t>
  </si>
  <si>
    <t>USER</t>
  </si>
  <si>
    <t>Percentage points (same unit as the dependent variable)</t>
  </si>
  <si>
    <t>gw, gcpi: annualised % points; cf10, cf1: % per year</t>
  </si>
  <si>
    <t>added to the right-hand side of the equation in the quarter</t>
  </si>
  <si>
    <t>n.a.</t>
  </si>
  <si>
    <t>Zero.</t>
  </si>
  <si>
    <t>One per equation</t>
  </si>
  <si>
    <t>COVID dummies D2020Q2, D2020Q3</t>
  </si>
  <si>
    <t>Wage-equation controls estimated in sample</t>
  </si>
  <si>
    <t>MODEL (fixed at zero)</t>
  </si>
  <si>
    <t>-</t>
  </si>
  <si>
    <t>0/1</t>
  </si>
  <si>
    <t>fixed 0 in every forecast quarter</t>
  </si>
  <si>
    <t>Both quarters are inside the estimation sample; no pandemic quarter is assumed in the horizon.</t>
  </si>
  <si>
    <t>Zero (not editable).</t>
  </si>
  <si>
    <t>Wage equation, lag 0</t>
  </si>
  <si>
    <t>Catch-up term diffcpicf</t>
  </si>
  <si>
    <t>Endogenous function of CPI inflation and 1y expectations</t>
  </si>
  <si>
    <t>MODEL</t>
  </si>
  <si>
    <t>pp: mean(gcpi_t..t-3) - cf1_(t-4)</t>
  </si>
  <si>
    <t>computed every quarter after gcpi is solved</t>
  </si>
  <si>
    <t>Uses History for the first four forecast quarters.</t>
  </si>
  <si>
    <t>n.a. (model-generated)</t>
  </si>
  <si>
    <t>Wage equation: lags 1-4</t>
  </si>
  <si>
    <t>gw, gcpi, cf10, cf1 (endogenous)</t>
  </si>
  <si>
    <t>The four equations' dependent variables</t>
  </si>
  <si>
    <t>gw, gcpi: 400*dln; cf10, cf1: % per year</t>
  </si>
  <si>
    <t>solved recursively: gw -&gt; grpe, grpf -&gt; gcpi -&gt; catch-up -&gt; cf10 -&gt; cf1</t>
  </si>
  <si>
    <t>Initial conditions = last four History quarters.</t>
  </si>
  <si>
    <t>Realised data after 2023Q2</t>
  </si>
  <si>
    <t>Outturns</t>
  </si>
  <si>
    <t>REALISED</t>
  </si>
  <si>
    <t>see Realised sheet</t>
  </si>
  <si>
    <t>Used only (i) to pre-fill Inputs_B and (ii) to compute forecast errors after the run.</t>
  </si>
  <si>
    <t>Never enters Exercise A, the coefficients or any initial condition.</t>
  </si>
  <si>
    <t>History: information available at the 2023Q2 origin (raw levels)</t>
  </si>
  <si>
    <t>Grey = historical data. Light green columns are formulas showing how each model variable is built from the levels. The engine uses the grey levels only and recomputes the model variables itself.</t>
  </si>
  <si>
    <t>cpi</t>
  </si>
  <si>
    <t>cpi_energy</t>
  </si>
  <si>
    <t>cpi_food</t>
  </si>
  <si>
    <t>eci</t>
  </si>
  <si>
    <t>prod</t>
  </si>
  <si>
    <t>cf1</t>
  </si>
  <si>
    <t>cf10</t>
  </si>
  <si>
    <t>CPI-U all items (SA)</t>
  </si>
  <si>
    <t>CPI energy (SA)</t>
  </si>
  <si>
    <t>CPI food (SA)</t>
  </si>
  <si>
    <t>ECI wages &amp; salaries, private (SA)</t>
  </si>
  <si>
    <t>Nonfarm business productivity</t>
  </si>
  <si>
    <t>GSCPI</t>
  </si>
  <si>
    <t>Job openings per unemployed (V/U)</t>
  </si>
  <si>
    <t>Cleveland Fed 1-year expected inflation</t>
  </si>
  <si>
    <t>Cleveland Fed 10-year expected inflation</t>
  </si>
  <si>
    <t>CPI inflation gcpi</t>
  </si>
  <si>
    <t>Wage growth gw</t>
  </si>
  <si>
    <t>CPI energy growth</t>
  </si>
  <si>
    <t>CPI food growth</t>
  </si>
  <si>
    <t>Relative energy price growth grpe</t>
  </si>
  <si>
    <t>Relative food price growth grpf</t>
  </si>
  <si>
    <t>Productivity growth</t>
  </si>
  <si>
    <t>Trend productivity magpty</t>
  </si>
  <si>
    <t>Shortage term</t>
  </si>
  <si>
    <t>Catch-up term</t>
  </si>
  <si>
    <t>quarter</t>
  </si>
  <si>
    <t>US$/bbl, quarterly avg</t>
  </si>
  <si>
    <t>index, quarter-end</t>
  </si>
  <si>
    <t>index</t>
  </si>
  <si>
    <t>% per year</t>
  </si>
  <si>
    <t>400*dln, %</t>
  </si>
  <si>
    <t>400*dln(CPIE/ECI)</t>
  </si>
  <si>
    <t>400*dln(CPIF/ECI)</t>
  </si>
  <si>
    <t>8-qtr mean of gpty</t>
  </si>
  <si>
    <t>2-qtr mean of GSCPI</t>
  </si>
  <si>
    <t>4-qtr mean gcpi - cf1(t-4)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</si>
  <si>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</si>
  <si>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</si>
  <si>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</si>
  <si>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</si>
  <si>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</si>
  <si>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</si>
  <si>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</si>
  <si>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</si>
  <si>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Realised: outturns after the origin (2023Q3-2026Q2)</t>
  </si>
  <si>
    <t>HISTORICAL REALISED VALUES, FOR CONDITIONAL SCENARIO ANALYSIS AND EVALUATION ONLY. Exercise A never reads this sheet.</t>
  </si>
  <si>
    <t>CPI inflation (target)</t>
  </si>
  <si>
    <t>CPI inflation y/y</t>
  </si>
  <si>
    <t>CPI energy</t>
  </si>
  <si>
    <t>Note</t>
  </si>
  <si>
    <t>400*dln, % q/q annualised</t>
  </si>
  <si>
    <t>%</t>
  </si>
  <si>
    <t>% q/q, annualised (Inputs_B unit)</t>
  </si>
  <si>
    <t>V/U bridged: October 2025 unemployment was never published (Phase 3 supplement); flagged</t>
  </si>
  <si>
    <t>Auxiliary models (estimated on data through 2023Q2)</t>
  </si>
  <si>
    <t>Not part of Model B*'s four equations: they turn user-friendly assumptions into model inputs. Do not edit; re-estimate in Python instead.</t>
  </si>
  <si>
    <t>bridge_const</t>
  </si>
  <si>
    <t>Oil bridge constant: drift of CPI energy growth unrelated to oil (400*dln, % points).</t>
  </si>
  <si>
    <t>bridge_b0</t>
  </si>
  <si>
    <t>Oil bridge pass-through: CPI energy growth = const + b0 * Brent growth (both 400*dln, quarterly).</t>
  </si>
  <si>
    <t>gscpi_ar_const</t>
  </si>
  <si>
    <t>GSCPI AR(1) constant (std devs).</t>
  </si>
  <si>
    <t>gscpi_ar_rho</t>
  </si>
  <si>
    <t>GSCPI AR(1) persistence.</t>
  </si>
  <si>
    <t>bridge_r2</t>
  </si>
  <si>
    <t>R-squared of the oil bridge (1990Q2-2023Q2, n = 133); residual s.d. 15.3 pp.</t>
  </si>
  <si>
    <t>bridge_b0_se_ols</t>
  </si>
  <si>
    <t>OLS standard error of b0.</t>
  </si>
  <si>
    <t>gscpi_ar_mean</t>
  </si>
  <si>
    <t>Implied long-run mean of GSCPI (1998Q1-2023Q2).</t>
  </si>
  <si>
    <t>Estimated Model B* coefficients (1990Q1-2023Q2), display only</t>
  </si>
  <si>
    <t>The engine reads coefficients/Bstar_coefficients_2023Q2.csv; this sheet is a copy for reference and is cross-checked against the file at run time. Do not edit.</t>
  </si>
  <si>
    <t>Equation</t>
  </si>
  <si>
    <t>Term (variable_Llag)</t>
  </si>
  <si>
    <t>Coefficient</t>
  </si>
  <si>
    <t>HAC s.e.</t>
  </si>
  <si>
    <t>HAC t</t>
  </si>
  <si>
    <t>gw</t>
  </si>
  <si>
    <t>gw_L1</t>
  </si>
  <si>
    <t>gw_L2</t>
  </si>
  <si>
    <t>gw_L3</t>
  </si>
  <si>
    <t>gw_L4</t>
  </si>
  <si>
    <t>cf1_L1</t>
  </si>
  <si>
    <t>cf1_L2</t>
  </si>
  <si>
    <t>cf1_L3</t>
  </si>
  <si>
    <t>cf1_L4</t>
  </si>
  <si>
    <t>magpty_L1</t>
  </si>
  <si>
    <t>vu_L1</t>
  </si>
  <si>
    <t>vu_L2</t>
  </si>
  <si>
    <t>vu_L3</t>
  </si>
  <si>
    <t>vu_L4</t>
  </si>
  <si>
    <t>diffcpicf_L1</t>
  </si>
  <si>
    <t>diffcpicf_L2</t>
  </si>
  <si>
    <t>diffcpicf_L3</t>
  </si>
  <si>
    <t>diffcpicf_L4</t>
  </si>
  <si>
    <t>D2020Q2</t>
  </si>
  <si>
    <t>D2020Q3</t>
  </si>
  <si>
    <t>const</t>
  </si>
  <si>
    <t>gcpi</t>
  </si>
  <si>
    <t>magpty_L0</t>
  </si>
  <si>
    <t>gcpi_L1</t>
  </si>
  <si>
    <t>gcpi_L2</t>
  </si>
  <si>
    <t>gcpi_L3</t>
  </si>
  <si>
    <t>gcpi_L4</t>
  </si>
  <si>
    <t>gw_L0</t>
  </si>
  <si>
    <t>grpe_L0</t>
  </si>
  <si>
    <t>grpe_L1</t>
  </si>
  <si>
    <t>grpe_L2</t>
  </si>
  <si>
    <t>grpe_L3</t>
  </si>
  <si>
    <t>grpe_L4</t>
  </si>
  <si>
    <t>grpf_L0</t>
  </si>
  <si>
    <t>grpf_L1</t>
  </si>
  <si>
    <t>grpf_L2</t>
  </si>
  <si>
    <t>grpf_L3</t>
  </si>
  <si>
    <t>grpf_L4</t>
  </si>
  <si>
    <t>shortagema2_L0</t>
  </si>
  <si>
    <t>cf10_L1</t>
  </si>
  <si>
    <t>cf10_L2</t>
  </si>
  <si>
    <t>cf10_L3</t>
  </si>
  <si>
    <t>cf10_L4</t>
  </si>
  <si>
    <t>gcpi_L0</t>
  </si>
  <si>
    <t>cf10_L0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</si>
</sst>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595959"/>
      <name val="Calibri"/>
    </font>
    <font>
      <sz val="8"/>
      <color rgb="FFA6A6A6"/>
      <name val="Calibri"/>
    </font>
    <font>
      <b/>
      <sz val="11"/>
      <color rgb="FFFFFFFF"/>
      <name val="Calibri"/>
    </font>
    <font>
      <sz val="11"/>
      <color rgb="FFFF0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/>
    <xf numFmtId="0" fontId="5" fillId="4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2" fontId="5" fillId="4" borderId="1" xfId="0" applyNumberFormat="1" applyFont="1" applyFill="1" applyBorder="1"/>
    <xf numFmtId="0" fontId="2" fillId="0" borderId="1" xfId="0" applyFont="1" applyBorder="1" applyAlignment="1">
      <alignment horizontal="center"/>
    </xf>
    <xf numFmtId="2" fontId="0" fillId="3" borderId="1" xfId="0" applyNumberFormat="1" applyFill="1" applyBorder="1"/>
    <xf numFmtId="2" fontId="0" fillId="5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5" fontId="0" fillId="3" borderId="1" xfId="0" applyNumberFormat="1" applyFill="1" applyBorder="1"/>
    <xf numFmtId="164" fontId="0" fillId="3" borderId="1" xfId="0" applyNumberFormat="1" applyFill="1" applyBorder="1"/>
    <xf numFmtId="164" fontId="4" fillId="3" borderId="1" xfId="0" applyNumberFormat="1" applyFont="1" applyFill="1" applyBorder="1" applyAlignment="1">
      <alignment horizontal="center" vertical="center" wrapText="1"/>
    </xf>
    <xf numFmtId="16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defaultRowHeight="14.4" x14ac:dyDescent="0.3"/>
  <cols>
    <col min="1" max="1" width="22" customWidth="1"/>
    <col min="2" max="2" width="130" customWidth="1"/>
  </cols>
  <sheetData>
    <row r="1" spans="1:7" ht="18" x14ac:dyDescent="0.35">
      <c r="A1" s="1" t="s">
        <v>0</v>
      </c>
    </row>
    <row r="3" spans="1:7" ht="60" customHeight="1" x14ac:dyDescent="0.3">
      <c r="A3" s="2" t="s">
        <v>1</v>
      </c>
      <c r="B3" s="3" t="s">
        <v>2</v>
      </c>
    </row>
    <row r="4" spans="1:7" ht="120" customHeight="1" x14ac:dyDescent="0.3">
      <c r="A4" s="2" t="s">
        <v>3</v>
      </c>
      <c r="B4" s="3" t="s">
        <v>4</v>
      </c>
    </row>
    <row r="5" spans="1:7" ht="45" customHeight="1" x14ac:dyDescent="0.3">
      <c r="A5" s="2" t="s">
        <v>5</v>
      </c>
      <c r="B5" s="3" t="s">
        <v>6</v>
      </c>
    </row>
    <row r="6" spans="1:7" ht="30" customHeight="1" x14ac:dyDescent="0.3">
      <c r="A6" s="2" t="s">
        <v>7</v>
      </c>
      <c r="B6" s="3" t="s">
        <v>8</v>
      </c>
    </row>
    <row r="7" spans="1:7" ht="90" customHeight="1" x14ac:dyDescent="0.3">
      <c r="A7" s="2" t="s">
        <v>9</v>
      </c>
      <c r="B7" s="3" t="s">
        <v>10</v>
      </c>
    </row>
    <row r="8" spans="1:7" ht="135" customHeight="1" x14ac:dyDescent="0.3">
      <c r="A8" s="2" t="s">
        <v>11</v>
      </c>
      <c r="B8" s="3" t="s">
        <v>12</v>
      </c>
    </row>
    <row r="9" spans="1:7" ht="60" customHeight="1" x14ac:dyDescent="0.3">
      <c r="A9" s="2" t="s">
        <v>13</v>
      </c>
      <c r="B9" s="3" t="s">
        <v>14</v>
      </c>
    </row>
    <row r="10" spans="1:7" ht="30" customHeight="1" x14ac:dyDescent="0.3">
      <c r="A10" s="2" t="s">
        <v>15</v>
      </c>
      <c r="B10" s="3" t="s">
        <v>16</v>
      </c>
    </row>
    <row r="11" spans="1:7" ht="45" customHeight="1" x14ac:dyDescent="0.3">
      <c r="A11" s="2" t="s">
        <v>17</v>
      </c>
      <c r="B11" s="3" t="s">
        <v>18</v>
      </c>
    </row>
    <row r="12" spans="1:7" ht="45" customHeight="1" x14ac:dyDescent="0.3">
      <c r="A12" s="2" t="s">
        <v>19</v>
      </c>
      <c r="B12" s="3" t="s">
        <v>20</v>
      </c>
    </row>
    <row r="14" spans="1:7" x14ac:dyDescent="0.3">
      <c r="A14" s="4" t="s">
        <v>21</v>
      </c>
      <c r="B14" t="s">
        <v>22</v>
      </c>
      <c r="C14" s="5">
        <v>80</v>
      </c>
      <c r="D14" t="s">
        <v>23</v>
      </c>
      <c r="E14" s="6">
        <v>4.2</v>
      </c>
      <c r="F14" t="s">
        <v>24</v>
      </c>
      <c r="G14" s="7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20" customWidth="1"/>
    <col min="2" max="2" width="46" customWidth="1"/>
    <col min="3" max="3" width="110" customWidth="1"/>
  </cols>
  <sheetData>
    <row r="1" spans="1:3" ht="18" x14ac:dyDescent="0.35">
      <c r="A1" s="1" t="s">
        <v>25</v>
      </c>
    </row>
    <row r="2" spans="1:3" x14ac:dyDescent="0.3">
      <c r="A2" s="8" t="s">
        <v>26</v>
      </c>
    </row>
    <row r="5" spans="1:3" x14ac:dyDescent="0.3">
      <c r="A5" s="9" t="s">
        <v>27</v>
      </c>
    </row>
    <row r="6" spans="1:3" x14ac:dyDescent="0.3">
      <c r="A6" s="10" t="s">
        <v>28</v>
      </c>
      <c r="B6" s="11" t="s">
        <v>29</v>
      </c>
      <c r="C6" s="12" t="s">
        <v>30</v>
      </c>
    </row>
    <row r="7" spans="1:3" ht="28.8" x14ac:dyDescent="0.3">
      <c r="A7" s="13" t="s">
        <v>31</v>
      </c>
      <c r="B7" s="5" t="s">
        <v>32</v>
      </c>
      <c r="C7" s="14" t="s">
        <v>33</v>
      </c>
    </row>
    <row r="8" spans="1:3" x14ac:dyDescent="0.3">
      <c r="A8" s="13" t="s">
        <v>34</v>
      </c>
      <c r="B8" s="7" t="s">
        <v>35</v>
      </c>
      <c r="C8" s="14" t="s">
        <v>36</v>
      </c>
    </row>
    <row r="9" spans="1:3" x14ac:dyDescent="0.3">
      <c r="A9" s="13" t="s">
        <v>37</v>
      </c>
      <c r="B9" s="7" t="s">
        <v>38</v>
      </c>
      <c r="C9" s="14" t="s">
        <v>39</v>
      </c>
    </row>
    <row r="10" spans="1:3" x14ac:dyDescent="0.3">
      <c r="A10" s="13" t="s">
        <v>40</v>
      </c>
      <c r="B10" s="7" t="s">
        <v>41</v>
      </c>
      <c r="C10" s="14" t="s">
        <v>42</v>
      </c>
    </row>
    <row r="11" spans="1:3" x14ac:dyDescent="0.3">
      <c r="A11" s="13" t="s">
        <v>43</v>
      </c>
      <c r="B11" s="7" t="s">
        <v>20</v>
      </c>
      <c r="C11" s="14" t="s">
        <v>44</v>
      </c>
    </row>
  </sheetData>
  <dataValidations count="1">
    <dataValidation type="list" showErrorMessage="1" errorTitle="forecast_end" error="Choose a quarter from 2023Q3 to 2029Q2" sqref="B7" xr:uid="{00000000-0002-0000-0100-000000000000}">
      <formula1>"2023Q3,2023Q4,2024Q1,2024Q2,2024Q3,2024Q4,2025Q1,2025Q2,2025Q3,2025Q4,2026Q1,2026Q2,2026Q3,2026Q4,2027Q1,2027Q2,2027Q3,2027Q4,2028Q1,2028Q2,2028Q3,2028Q4,2029Q1,2029Q2"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0" customWidth="1"/>
    <col min="3" max="12" width="17" customWidth="1"/>
    <col min="13" max="13" width="58" customWidth="1"/>
  </cols>
  <sheetData>
    <row r="1" spans="1:13" ht="18" x14ac:dyDescent="0.35">
      <c r="A1" s="1" t="s">
        <v>45</v>
      </c>
    </row>
    <row r="2" spans="1:13" x14ac:dyDescent="0.3">
      <c r="A2" s="8" t="s">
        <v>46</v>
      </c>
    </row>
    <row r="5" spans="1:13" x14ac:dyDescent="0.3">
      <c r="A5" s="9" t="s">
        <v>27</v>
      </c>
      <c r="C5" s="9" t="s">
        <v>47</v>
      </c>
      <c r="D5" s="9" t="s">
        <v>48</v>
      </c>
      <c r="E5" s="9" t="s">
        <v>49</v>
      </c>
      <c r="F5" s="9" t="s">
        <v>50</v>
      </c>
      <c r="G5" s="9" t="s">
        <v>51</v>
      </c>
      <c r="H5" s="9" t="s">
        <v>52</v>
      </c>
      <c r="I5" s="9" t="s">
        <v>53</v>
      </c>
      <c r="J5" s="9" t="s">
        <v>54</v>
      </c>
      <c r="K5" s="9" t="s">
        <v>55</v>
      </c>
      <c r="L5" s="9" t="s">
        <v>56</v>
      </c>
    </row>
    <row r="6" spans="1:13" ht="48" customHeight="1" x14ac:dyDescent="0.3">
      <c r="A6" s="10" t="s">
        <v>57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  <c r="I6" s="10" t="s">
        <v>65</v>
      </c>
      <c r="J6" s="10" t="s">
        <v>66</v>
      </c>
      <c r="K6" s="10" t="s">
        <v>67</v>
      </c>
      <c r="L6" s="10" t="s">
        <v>68</v>
      </c>
      <c r="M6" s="10" t="s">
        <v>69</v>
      </c>
    </row>
    <row r="7" spans="1:13" ht="30" customHeight="1" x14ac:dyDescent="0.3">
      <c r="A7" s="15"/>
      <c r="B7" s="15" t="s">
        <v>70</v>
      </c>
      <c r="C7" s="15" t="s">
        <v>71</v>
      </c>
      <c r="D7" s="15" t="s">
        <v>72</v>
      </c>
      <c r="E7" s="15" t="s">
        <v>72</v>
      </c>
      <c r="F7" s="15" t="s">
        <v>73</v>
      </c>
      <c r="G7" s="15" t="s">
        <v>74</v>
      </c>
      <c r="H7" s="15" t="s">
        <v>72</v>
      </c>
      <c r="I7" s="15" t="s">
        <v>75</v>
      </c>
      <c r="J7" s="15" t="s">
        <v>75</v>
      </c>
      <c r="K7" s="15" t="s">
        <v>76</v>
      </c>
      <c r="L7" s="15" t="s">
        <v>76</v>
      </c>
      <c r="M7" s="15"/>
    </row>
    <row r="8" spans="1:13" x14ac:dyDescent="0.3">
      <c r="A8" s="13" t="s">
        <v>77</v>
      </c>
      <c r="B8" s="6" t="str">
        <f>IF(A8&lt;=Settings!$B$7,"in horizon","beyond horizon (ignored)")</f>
        <v>in horizon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3" t="s">
        <v>78</v>
      </c>
    </row>
    <row r="9" spans="1:13" x14ac:dyDescent="0.3">
      <c r="A9" s="13" t="s">
        <v>79</v>
      </c>
      <c r="B9" s="6" t="str">
        <f>IF(A9&lt;=Settings!$B$7,"in horizon","beyond horizon (ignored)")</f>
        <v>in horizon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3" t="s">
        <v>78</v>
      </c>
    </row>
    <row r="10" spans="1:13" x14ac:dyDescent="0.3">
      <c r="A10" s="13" t="s">
        <v>80</v>
      </c>
      <c r="B10" s="6" t="str">
        <f>IF(A10&lt;=Settings!$B$7,"in horizon","beyond horizon (ignored)")</f>
        <v>in horizon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3" t="s">
        <v>78</v>
      </c>
    </row>
    <row r="11" spans="1:13" x14ac:dyDescent="0.3">
      <c r="A11" s="13" t="s">
        <v>81</v>
      </c>
      <c r="B11" s="6" t="str">
        <f>IF(A11&lt;=Settings!$B$7,"in horizon","beyond horizon (ignored)")</f>
        <v>in horizon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3" t="s">
        <v>78</v>
      </c>
    </row>
    <row r="12" spans="1:13" x14ac:dyDescent="0.3">
      <c r="A12" s="13" t="s">
        <v>82</v>
      </c>
      <c r="B12" s="6" t="str">
        <f>IF(A12&lt;=Settings!$B$7,"in horizon","beyond horizon (ignored)")</f>
        <v>in horizon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3" t="s">
        <v>78</v>
      </c>
    </row>
    <row r="13" spans="1:13" x14ac:dyDescent="0.3">
      <c r="A13" s="13" t="s">
        <v>83</v>
      </c>
      <c r="B13" s="6" t="str">
        <f>IF(A13&lt;=Settings!$B$7,"in horizon","beyond horizon (ignored)")</f>
        <v>in horizon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3" t="s">
        <v>78</v>
      </c>
    </row>
    <row r="14" spans="1:13" x14ac:dyDescent="0.3">
      <c r="A14" s="13" t="s">
        <v>84</v>
      </c>
      <c r="B14" s="6" t="str">
        <f>IF(A14&lt;=Settings!$B$7,"in horizon","beyond horizon (ignored)")</f>
        <v>in horizon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3" t="s">
        <v>78</v>
      </c>
    </row>
    <row r="15" spans="1:13" x14ac:dyDescent="0.3">
      <c r="A15" s="13" t="s">
        <v>85</v>
      </c>
      <c r="B15" s="6" t="str">
        <f>IF(A15&lt;=Settings!$B$7,"in horizon","beyond horizon (ignored)")</f>
        <v>in horizon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3" t="s">
        <v>78</v>
      </c>
    </row>
    <row r="16" spans="1:13" x14ac:dyDescent="0.3">
      <c r="A16" s="13" t="s">
        <v>86</v>
      </c>
      <c r="B16" s="6" t="str">
        <f>IF(A16&lt;=Settings!$B$7,"in horizon","beyond horizon (ignored)")</f>
        <v>in horizon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3" t="s">
        <v>78</v>
      </c>
    </row>
    <row r="17" spans="1:13" x14ac:dyDescent="0.3">
      <c r="A17" s="13" t="s">
        <v>87</v>
      </c>
      <c r="B17" s="6" t="str">
        <f>IF(A17&lt;=Settings!$B$7,"in horizon","beyond horizon (ignored)")</f>
        <v>in horizon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3" t="s">
        <v>78</v>
      </c>
    </row>
    <row r="18" spans="1:13" x14ac:dyDescent="0.3">
      <c r="A18" s="13" t="s">
        <v>88</v>
      </c>
      <c r="B18" s="6" t="str">
        <f>IF(A18&lt;=Settings!$B$7,"in horizon","beyond horizon (ignored)")</f>
        <v>in horizon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3" t="s">
        <v>78</v>
      </c>
    </row>
    <row r="19" spans="1:13" x14ac:dyDescent="0.3">
      <c r="A19" s="13" t="s">
        <v>32</v>
      </c>
      <c r="B19" s="6" t="str">
        <f>IF(A19&lt;=Settings!$B$7,"in horizon","beyond horizon (ignored)")</f>
        <v>in horizon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3" t="s">
        <v>78</v>
      </c>
    </row>
    <row r="20" spans="1:13" x14ac:dyDescent="0.3">
      <c r="A20" s="13" t="s">
        <v>89</v>
      </c>
      <c r="B20" s="6" t="str">
        <f>IF(A20&lt;=Settings!$B$7,"in horizon","beyond horizon (ignored)")</f>
        <v>beyond horizon (ignored)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3" t="s">
        <v>78</v>
      </c>
    </row>
    <row r="21" spans="1:13" x14ac:dyDescent="0.3">
      <c r="A21" s="13" t="s">
        <v>90</v>
      </c>
      <c r="B21" s="6" t="str">
        <f>IF(A21&lt;=Settings!$B$7,"in horizon","beyond horizon (ignored)")</f>
        <v>beyond horizon (ignored)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3" t="s">
        <v>78</v>
      </c>
    </row>
    <row r="22" spans="1:13" x14ac:dyDescent="0.3">
      <c r="A22" s="13" t="s">
        <v>91</v>
      </c>
      <c r="B22" s="6" t="str">
        <f>IF(A22&lt;=Settings!$B$7,"in horizon","beyond horizon (ignored)")</f>
        <v>beyond horizon (ignored)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3" t="s">
        <v>78</v>
      </c>
    </row>
    <row r="23" spans="1:13" x14ac:dyDescent="0.3">
      <c r="A23" s="13" t="s">
        <v>92</v>
      </c>
      <c r="B23" s="6" t="str">
        <f>IF(A23&lt;=Settings!$B$7,"in horizon","beyond horizon (ignored)")</f>
        <v>beyond horizon (ignored)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3" t="s">
        <v>78</v>
      </c>
    </row>
    <row r="24" spans="1:13" x14ac:dyDescent="0.3">
      <c r="A24" s="13" t="s">
        <v>93</v>
      </c>
      <c r="B24" s="6" t="str">
        <f>IF(A24&lt;=Settings!$B$7,"in horizon","beyond horizon (ignored)")</f>
        <v>beyond horizon (ignored)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3" t="s">
        <v>78</v>
      </c>
    </row>
    <row r="25" spans="1:13" x14ac:dyDescent="0.3">
      <c r="A25" s="13" t="s">
        <v>94</v>
      </c>
      <c r="B25" s="6" t="str">
        <f>IF(A25&lt;=Settings!$B$7,"in horizon","beyond horizon (ignored)")</f>
        <v>beyond horizon (ignored)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3" t="s">
        <v>78</v>
      </c>
    </row>
    <row r="26" spans="1:13" x14ac:dyDescent="0.3">
      <c r="A26" s="13" t="s">
        <v>95</v>
      </c>
      <c r="B26" s="6" t="str">
        <f>IF(A26&lt;=Settings!$B$7,"in horizon","beyond horizon (ignored)")</f>
        <v>beyond horizon (ignored)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3" t="s">
        <v>78</v>
      </c>
    </row>
    <row r="27" spans="1:13" x14ac:dyDescent="0.3">
      <c r="A27" s="13" t="s">
        <v>96</v>
      </c>
      <c r="B27" s="6" t="str">
        <f>IF(A27&lt;=Settings!$B$7,"in horizon","beyond horizon (ignored)")</f>
        <v>beyond horizon (ignored)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3" t="s">
        <v>78</v>
      </c>
    </row>
    <row r="28" spans="1:13" x14ac:dyDescent="0.3">
      <c r="A28" s="13" t="s">
        <v>97</v>
      </c>
      <c r="B28" s="6" t="str">
        <f>IF(A28&lt;=Settings!$B$7,"in horizon","beyond horizon (ignored)")</f>
        <v>beyond horizon (ignored)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3" t="s">
        <v>78</v>
      </c>
    </row>
    <row r="29" spans="1:13" x14ac:dyDescent="0.3">
      <c r="A29" s="13" t="s">
        <v>98</v>
      </c>
      <c r="B29" s="6" t="str">
        <f>IF(A29&lt;=Settings!$B$7,"in horizon","beyond horizon (ignored)")</f>
        <v>beyond horizon (ignored)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3" t="s">
        <v>78</v>
      </c>
    </row>
    <row r="30" spans="1:13" x14ac:dyDescent="0.3">
      <c r="A30" s="13" t="s">
        <v>99</v>
      </c>
      <c r="B30" s="6" t="str">
        <f>IF(A30&lt;=Settings!$B$7,"in horizon","beyond horizon (ignored)")</f>
        <v>beyond horizon (ignored)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3" t="s">
        <v>78</v>
      </c>
    </row>
    <row r="31" spans="1:13" x14ac:dyDescent="0.3">
      <c r="A31" s="13" t="s">
        <v>100</v>
      </c>
      <c r="B31" s="6" t="str">
        <f>IF(A31&lt;=Settings!$B$7,"in horizon","beyond horizon (ignored)")</f>
        <v>beyond horizon (ignored)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3" t="s">
        <v>78</v>
      </c>
    </row>
  </sheetData>
  <dataValidations count="3">
    <dataValidation type="decimal" operator="greaterThan" allowBlank="1" showErrorMessage="1" errorTitle="Invalid" error="Must be a positive number" sqref="C8:C31" xr:uid="{00000000-0002-0000-0200-000000000000}">
      <formula1>0</formula1>
    </dataValidation>
    <dataValidation type="decimal" operator="greaterThan" allowBlank="1" showErrorMessage="1" errorTitle="Invalid" error="A % change must be greater than -100" sqref="D8:D31 E8:E31 H8:H31" xr:uid="{00000000-0002-0000-0200-000001000000}">
      <formula1>-100</formula1>
    </dataValidation>
    <dataValidation type="decimal" operator="greaterThanOrEqual" allowBlank="1" showErrorMessage="1" errorTitle="Invalid" error="V/U cannot be negative" sqref="G8:G31" xr:uid="{00000000-0002-0000-0200-000002000000}">
      <formula1>0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0" customWidth="1"/>
    <col min="3" max="12" width="17" customWidth="1"/>
    <col min="13" max="13" width="58" customWidth="1"/>
  </cols>
  <sheetData>
    <row r="1" spans="1:13" ht="18" x14ac:dyDescent="0.35">
      <c r="A1" s="1" t="s">
        <v>101</v>
      </c>
    </row>
    <row r="2" spans="1:13" x14ac:dyDescent="0.3">
      <c r="A2" s="8" t="s">
        <v>102</v>
      </c>
    </row>
    <row r="5" spans="1:13" x14ac:dyDescent="0.3">
      <c r="A5" s="9" t="s">
        <v>27</v>
      </c>
      <c r="C5" s="9" t="s">
        <v>47</v>
      </c>
      <c r="D5" s="9" t="s">
        <v>48</v>
      </c>
      <c r="E5" s="9" t="s">
        <v>49</v>
      </c>
      <c r="F5" s="9" t="s">
        <v>50</v>
      </c>
      <c r="G5" s="9" t="s">
        <v>51</v>
      </c>
      <c r="H5" s="9" t="s">
        <v>52</v>
      </c>
      <c r="I5" s="9" t="s">
        <v>53</v>
      </c>
      <c r="J5" s="9" t="s">
        <v>54</v>
      </c>
      <c r="K5" s="9" t="s">
        <v>55</v>
      </c>
      <c r="L5" s="9" t="s">
        <v>56</v>
      </c>
    </row>
    <row r="6" spans="1:13" ht="48" customHeight="1" x14ac:dyDescent="0.3">
      <c r="A6" s="10" t="s">
        <v>57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  <c r="I6" s="10" t="s">
        <v>65</v>
      </c>
      <c r="J6" s="10" t="s">
        <v>66</v>
      </c>
      <c r="K6" s="10" t="s">
        <v>67</v>
      </c>
      <c r="L6" s="10" t="s">
        <v>68</v>
      </c>
      <c r="M6" s="10" t="s">
        <v>69</v>
      </c>
    </row>
    <row r="7" spans="1:13" ht="30" customHeight="1" x14ac:dyDescent="0.3">
      <c r="A7" s="15"/>
      <c r="B7" s="15" t="s">
        <v>70</v>
      </c>
      <c r="C7" s="15" t="s">
        <v>71</v>
      </c>
      <c r="D7" s="15" t="s">
        <v>72</v>
      </c>
      <c r="E7" s="15" t="s">
        <v>72</v>
      </c>
      <c r="F7" s="15" t="s">
        <v>73</v>
      </c>
      <c r="G7" s="15" t="s">
        <v>74</v>
      </c>
      <c r="H7" s="15" t="s">
        <v>72</v>
      </c>
      <c r="I7" s="15" t="s">
        <v>75</v>
      </c>
      <c r="J7" s="15" t="s">
        <v>75</v>
      </c>
      <c r="K7" s="15" t="s">
        <v>76</v>
      </c>
      <c r="L7" s="15" t="s">
        <v>76</v>
      </c>
      <c r="M7" s="15"/>
    </row>
    <row r="8" spans="1:13" x14ac:dyDescent="0.3">
      <c r="A8" s="13" t="s">
        <v>77</v>
      </c>
      <c r="B8" s="6" t="str">
        <f>IF(A8&lt;=Settings!$B$7,"in horizon","beyond horizon (ignored)")</f>
        <v>in horizon</v>
      </c>
      <c r="C8" s="16">
        <v>86.766666666666666</v>
      </c>
      <c r="D8" s="16">
        <v>26.885255718639641</v>
      </c>
      <c r="E8" s="16">
        <v>2.5225476243121658</v>
      </c>
      <c r="F8" s="16">
        <v>-0.86747033333333334</v>
      </c>
      <c r="G8" s="16">
        <v>1.4708748375920311</v>
      </c>
      <c r="H8" s="16">
        <v>5.0552207235400548</v>
      </c>
      <c r="I8" s="16"/>
      <c r="J8" s="16"/>
      <c r="K8" s="16"/>
      <c r="L8" s="16"/>
      <c r="M8" s="13" t="s">
        <v>103</v>
      </c>
    </row>
    <row r="9" spans="1:13" x14ac:dyDescent="0.3">
      <c r="A9" s="13" t="s">
        <v>79</v>
      </c>
      <c r="B9" s="6" t="str">
        <f>IF(A9&lt;=Settings!$B$7,"in horizon","beyond horizon (ignored)")</f>
        <v>in horizon</v>
      </c>
      <c r="C9" s="16">
        <v>84.066666666666663</v>
      </c>
      <c r="D9" s="16">
        <v>-15.25274045944427</v>
      </c>
      <c r="E9" s="16">
        <v>2.5582553809994302</v>
      </c>
      <c r="F9" s="16">
        <v>-9.9495666666666593E-2</v>
      </c>
      <c r="G9" s="16">
        <v>1.351456514880639</v>
      </c>
      <c r="H9" s="16">
        <v>3.9403824002580912</v>
      </c>
      <c r="I9" s="16"/>
      <c r="J9" s="16"/>
      <c r="K9" s="16"/>
      <c r="L9" s="16"/>
      <c r="M9" s="13" t="s">
        <v>103</v>
      </c>
    </row>
    <row r="10" spans="1:13" x14ac:dyDescent="0.3">
      <c r="A10" s="13" t="s">
        <v>80</v>
      </c>
      <c r="B10" s="6" t="str">
        <f>IF(A10&lt;=Settings!$B$7,"in horizon","beyond horizon (ignored)")</f>
        <v>in horizon</v>
      </c>
      <c r="C10" s="16">
        <v>83.13333333333334</v>
      </c>
      <c r="D10" s="16">
        <v>11.77776715627907</v>
      </c>
      <c r="E10" s="16">
        <v>1.6521239600217901</v>
      </c>
      <c r="F10" s="16">
        <v>-0.28298666666666661</v>
      </c>
      <c r="G10" s="16">
        <v>1.304556354916067</v>
      </c>
      <c r="H10" s="16">
        <v>0.2320225423134703</v>
      </c>
      <c r="I10" s="16"/>
      <c r="J10" s="16"/>
      <c r="K10" s="16"/>
      <c r="L10" s="16"/>
      <c r="M10" s="13" t="s">
        <v>103</v>
      </c>
    </row>
    <row r="11" spans="1:13" x14ac:dyDescent="0.3">
      <c r="A11" s="13" t="s">
        <v>81</v>
      </c>
      <c r="B11" s="6" t="str">
        <f>IF(A11&lt;=Settings!$B$7,"in horizon","beyond horizon (ignored)")</f>
        <v>in horizon</v>
      </c>
      <c r="C11" s="16">
        <v>84.899999999999991</v>
      </c>
      <c r="D11" s="16">
        <v>-13.654835413893309</v>
      </c>
      <c r="E11" s="16">
        <v>2.247054953705097</v>
      </c>
      <c r="F11" s="16">
        <v>-0.61931533333333333</v>
      </c>
      <c r="G11" s="16">
        <v>1.136691007302191</v>
      </c>
      <c r="H11" s="16">
        <v>3.7119293967276872</v>
      </c>
      <c r="I11" s="16"/>
      <c r="J11" s="16"/>
      <c r="K11" s="16"/>
      <c r="L11" s="16"/>
      <c r="M11" s="13" t="s">
        <v>103</v>
      </c>
    </row>
    <row r="12" spans="1:13" x14ac:dyDescent="0.3">
      <c r="A12" s="13" t="s">
        <v>82</v>
      </c>
      <c r="B12" s="6" t="str">
        <f>IF(A12&lt;=Settings!$B$7,"in horizon","beyond horizon (ignored)")</f>
        <v>in horizon</v>
      </c>
      <c r="C12" s="16">
        <v>80.166666666666671</v>
      </c>
      <c r="D12" s="16">
        <v>-7.81366203832774</v>
      </c>
      <c r="E12" s="16">
        <v>2.6385772184191141</v>
      </c>
      <c r="F12" s="16">
        <v>9.6915333333333298E-2</v>
      </c>
      <c r="G12" s="16">
        <v>1.041837220371252</v>
      </c>
      <c r="H12" s="16">
        <v>3.6849518834193962</v>
      </c>
      <c r="I12" s="16"/>
      <c r="J12" s="16"/>
      <c r="K12" s="16"/>
      <c r="L12" s="16"/>
      <c r="M12" s="13" t="s">
        <v>103</v>
      </c>
    </row>
    <row r="13" spans="1:13" x14ac:dyDescent="0.3">
      <c r="A13" s="13" t="s">
        <v>83</v>
      </c>
      <c r="B13" s="6" t="str">
        <f>IF(A13&lt;=Settings!$B$7,"in horizon","beyond horizon (ignored)")</f>
        <v>in horizon</v>
      </c>
      <c r="C13" s="16">
        <v>74.63333333333334</v>
      </c>
      <c r="D13" s="16">
        <v>10.90506223003162</v>
      </c>
      <c r="E13" s="16">
        <v>3.3089820355151289</v>
      </c>
      <c r="F13" s="16">
        <v>-0.3629646666666666</v>
      </c>
      <c r="G13" s="16">
        <v>1.061068702290076</v>
      </c>
      <c r="H13" s="16">
        <v>1.4208753380270169</v>
      </c>
      <c r="I13" s="16"/>
      <c r="J13" s="16"/>
      <c r="K13" s="16"/>
      <c r="L13" s="16"/>
      <c r="M13" s="13" t="s">
        <v>103</v>
      </c>
    </row>
    <row r="14" spans="1:13" x14ac:dyDescent="0.3">
      <c r="A14" s="13" t="s">
        <v>84</v>
      </c>
      <c r="B14" s="6" t="str">
        <f>IF(A14&lt;=Settings!$B$7,"in horizon","beyond horizon (ignored)")</f>
        <v>in horizon</v>
      </c>
      <c r="C14" s="16">
        <v>75.666666666666671</v>
      </c>
      <c r="D14" s="16">
        <v>-1.3128636980496711</v>
      </c>
      <c r="E14" s="16">
        <v>3.4731088210823819</v>
      </c>
      <c r="F14" s="16">
        <v>-0.208122</v>
      </c>
      <c r="G14" s="16">
        <v>1.0248329463058621</v>
      </c>
      <c r="H14" s="16">
        <v>-0.88331423012806276</v>
      </c>
      <c r="I14" s="16"/>
      <c r="J14" s="16"/>
      <c r="K14" s="16"/>
      <c r="L14" s="16"/>
      <c r="M14" s="13" t="s">
        <v>103</v>
      </c>
    </row>
    <row r="15" spans="1:13" x14ac:dyDescent="0.3">
      <c r="A15" s="13" t="s">
        <v>85</v>
      </c>
      <c r="B15" s="6" t="str">
        <f>IF(A15&lt;=Settings!$B$7,"in horizon","beyond horizon (ignored)")</f>
        <v>in horizon</v>
      </c>
      <c r="C15" s="16">
        <v>67.8</v>
      </c>
      <c r="D15" s="16">
        <v>-3.325157186482786</v>
      </c>
      <c r="E15" s="16">
        <v>2.5581909977526962</v>
      </c>
      <c r="F15" s="16">
        <v>-5.3498999999999998E-2</v>
      </c>
      <c r="G15" s="16">
        <v>1.0072237498252321</v>
      </c>
      <c r="H15" s="16">
        <v>4.1886148969224601</v>
      </c>
      <c r="I15" s="16"/>
      <c r="J15" s="16"/>
      <c r="K15" s="16"/>
      <c r="L15" s="16"/>
      <c r="M15" s="13" t="s">
        <v>103</v>
      </c>
    </row>
    <row r="16" spans="1:13" x14ac:dyDescent="0.3">
      <c r="A16" s="13" t="s">
        <v>86</v>
      </c>
      <c r="B16" s="6" t="str">
        <f>IF(A16&lt;=Settings!$B$7,"in horizon","beyond horizon (ignored)")</f>
        <v>in horizon</v>
      </c>
      <c r="C16" s="16">
        <v>69.066666666666663</v>
      </c>
      <c r="D16" s="16">
        <v>6.1267212865563581</v>
      </c>
      <c r="E16" s="16">
        <v>3.120696261077982</v>
      </c>
      <c r="F16" s="16">
        <v>-2.9837666666666599E-2</v>
      </c>
      <c r="G16" s="16">
        <v>0.95147594015365955</v>
      </c>
      <c r="H16" s="16">
        <v>5.2066565438818158</v>
      </c>
      <c r="I16" s="16"/>
      <c r="J16" s="16"/>
      <c r="K16" s="16"/>
      <c r="L16" s="16"/>
      <c r="M16" s="13" t="s">
        <v>103</v>
      </c>
    </row>
    <row r="17" spans="1:13" x14ac:dyDescent="0.3">
      <c r="A17" s="13" t="s">
        <v>87</v>
      </c>
      <c r="B17" s="6" t="str">
        <f>IF(A17&lt;=Settings!$B$7,"in horizon","beyond horizon (ignored)")</f>
        <v>in horizon</v>
      </c>
      <c r="C17" s="16">
        <v>63.666666666666657</v>
      </c>
      <c r="D17" s="16">
        <v>7.2035425975636391</v>
      </c>
      <c r="E17" s="16">
        <v>3.0104295132113319</v>
      </c>
      <c r="F17" s="16">
        <v>3.3617000000000001E-2</v>
      </c>
      <c r="G17" s="16">
        <v>0.89506898202550378</v>
      </c>
      <c r="H17" s="16">
        <v>1.5771578962470609</v>
      </c>
      <c r="I17" s="16"/>
      <c r="J17" s="16"/>
      <c r="K17" s="16"/>
      <c r="L17" s="16"/>
      <c r="M17" s="13" t="s">
        <v>103</v>
      </c>
    </row>
    <row r="18" spans="1:13" x14ac:dyDescent="0.3">
      <c r="A18" s="13" t="s">
        <v>88</v>
      </c>
      <c r="B18" s="6" t="str">
        <f>IF(A18&lt;=Settings!$B$7,"in horizon","beyond horizon (ignored)")</f>
        <v>in horizon</v>
      </c>
      <c r="C18" s="16">
        <v>80.533333333333331</v>
      </c>
      <c r="D18" s="16">
        <v>46.098217527393182</v>
      </c>
      <c r="E18" s="16">
        <v>2.30735765660337</v>
      </c>
      <c r="F18" s="16">
        <v>0.49244233333333332</v>
      </c>
      <c r="G18" s="16">
        <v>0.94909369645594721</v>
      </c>
      <c r="H18" s="16">
        <v>0.82027406244196133</v>
      </c>
      <c r="I18" s="16"/>
      <c r="J18" s="16"/>
      <c r="K18" s="16"/>
      <c r="L18" s="16"/>
      <c r="M18" s="13" t="s">
        <v>103</v>
      </c>
    </row>
    <row r="19" spans="1:13" x14ac:dyDescent="0.3">
      <c r="A19" s="13" t="s">
        <v>32</v>
      </c>
      <c r="B19" s="6" t="str">
        <f>IF(A19&lt;=Settings!$B$7,"in horizon","beyond horizon (ignored)")</f>
        <v>in horizon</v>
      </c>
      <c r="C19" s="16">
        <v>104.43333333333329</v>
      </c>
      <c r="D19" s="16">
        <v>6.8851971189994856</v>
      </c>
      <c r="E19" s="16">
        <v>3.5144900715602829</v>
      </c>
      <c r="F19" s="16">
        <v>1.599418666666667</v>
      </c>
      <c r="G19" s="16">
        <v>1.0243409571048041</v>
      </c>
      <c r="H19" s="16">
        <v>1.4223104900269461</v>
      </c>
      <c r="I19" s="16"/>
      <c r="J19" s="16"/>
      <c r="K19" s="16"/>
      <c r="L19" s="16"/>
      <c r="M19" s="13" t="s">
        <v>103</v>
      </c>
    </row>
    <row r="20" spans="1:13" x14ac:dyDescent="0.3">
      <c r="A20" s="13" t="s">
        <v>89</v>
      </c>
      <c r="B20" s="6" t="str">
        <f>IF(A20&lt;=Settings!$B$7,"in horizon","beyond horizon (ignored)")</f>
        <v>beyond horizon (ignored)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3" t="s">
        <v>78</v>
      </c>
    </row>
    <row r="21" spans="1:13" x14ac:dyDescent="0.3">
      <c r="A21" s="13" t="s">
        <v>90</v>
      </c>
      <c r="B21" s="6" t="str">
        <f>IF(A21&lt;=Settings!$B$7,"in horizon","beyond horizon (ignored)")</f>
        <v>beyond horizon (ignored)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3" t="s">
        <v>78</v>
      </c>
    </row>
    <row r="22" spans="1:13" x14ac:dyDescent="0.3">
      <c r="A22" s="13" t="s">
        <v>91</v>
      </c>
      <c r="B22" s="6" t="str">
        <f>IF(A22&lt;=Settings!$B$7,"in horizon","beyond horizon (ignored)")</f>
        <v>beyond horizon (ignored)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3" t="s">
        <v>78</v>
      </c>
    </row>
    <row r="23" spans="1:13" x14ac:dyDescent="0.3">
      <c r="A23" s="13" t="s">
        <v>92</v>
      </c>
      <c r="B23" s="6" t="str">
        <f>IF(A23&lt;=Settings!$B$7,"in horizon","beyond horizon (ignored)")</f>
        <v>beyond horizon (ignored)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3" t="s">
        <v>78</v>
      </c>
    </row>
    <row r="24" spans="1:13" x14ac:dyDescent="0.3">
      <c r="A24" s="13" t="s">
        <v>93</v>
      </c>
      <c r="B24" s="6" t="str">
        <f>IF(A24&lt;=Settings!$B$7,"in horizon","beyond horizon (ignored)")</f>
        <v>beyond horizon (ignored)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3" t="s">
        <v>78</v>
      </c>
    </row>
    <row r="25" spans="1:13" x14ac:dyDescent="0.3">
      <c r="A25" s="13" t="s">
        <v>94</v>
      </c>
      <c r="B25" s="6" t="str">
        <f>IF(A25&lt;=Settings!$B$7,"in horizon","beyond horizon (ignored)")</f>
        <v>beyond horizon (ignored)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3" t="s">
        <v>78</v>
      </c>
    </row>
    <row r="26" spans="1:13" x14ac:dyDescent="0.3">
      <c r="A26" s="13" t="s">
        <v>95</v>
      </c>
      <c r="B26" s="6" t="str">
        <f>IF(A26&lt;=Settings!$B$7,"in horizon","beyond horizon (ignored)")</f>
        <v>beyond horizon (ignored)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3" t="s">
        <v>78</v>
      </c>
    </row>
    <row r="27" spans="1:13" x14ac:dyDescent="0.3">
      <c r="A27" s="13" t="s">
        <v>96</v>
      </c>
      <c r="B27" s="6" t="str">
        <f>IF(A27&lt;=Settings!$B$7,"in horizon","beyond horizon (ignored)")</f>
        <v>beyond horizon (ignored)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3" t="s">
        <v>78</v>
      </c>
    </row>
    <row r="28" spans="1:13" x14ac:dyDescent="0.3">
      <c r="A28" s="13" t="s">
        <v>97</v>
      </c>
      <c r="B28" s="6" t="str">
        <f>IF(A28&lt;=Settings!$B$7,"in horizon","beyond horizon (ignored)")</f>
        <v>beyond horizon (ignored)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3" t="s">
        <v>78</v>
      </c>
    </row>
    <row r="29" spans="1:13" x14ac:dyDescent="0.3">
      <c r="A29" s="13" t="s">
        <v>98</v>
      </c>
      <c r="B29" s="6" t="str">
        <f>IF(A29&lt;=Settings!$B$7,"in horizon","beyond horizon (ignored)")</f>
        <v>beyond horizon (ignored)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3" t="s">
        <v>78</v>
      </c>
    </row>
    <row r="30" spans="1:13" x14ac:dyDescent="0.3">
      <c r="A30" s="13" t="s">
        <v>99</v>
      </c>
      <c r="B30" s="6" t="str">
        <f>IF(A30&lt;=Settings!$B$7,"in horizon","beyond horizon (ignored)")</f>
        <v>beyond horizon (ignored)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3" t="s">
        <v>78</v>
      </c>
    </row>
    <row r="31" spans="1:13" x14ac:dyDescent="0.3">
      <c r="A31" s="13" t="s">
        <v>100</v>
      </c>
      <c r="B31" s="6" t="str">
        <f>IF(A31&lt;=Settings!$B$7,"in horizon","beyond horizon (ignored)")</f>
        <v>beyond horizon (ignored)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3" t="s">
        <v>78</v>
      </c>
    </row>
  </sheetData>
  <dataValidations count="3">
    <dataValidation type="decimal" operator="greaterThan" allowBlank="1" showErrorMessage="1" errorTitle="Invalid" error="Must be a positive number" sqref="C8:C31" xr:uid="{00000000-0002-0000-0300-000000000000}">
      <formula1>0</formula1>
    </dataValidation>
    <dataValidation type="decimal" operator="greaterThan" allowBlank="1" showErrorMessage="1" errorTitle="Invalid" error="A % change must be greater than -100" sqref="D8:D31 E8:E31 H8:H31" xr:uid="{00000000-0002-0000-0300-000001000000}">
      <formula1>-100</formula1>
    </dataValidation>
    <dataValidation type="decimal" operator="greaterThanOrEqual" allowBlank="1" showErrorMessage="1" errorTitle="Invalid" error="V/U cannot be negative" sqref="G8:G31" xr:uid="{00000000-0002-0000-0300-000002000000}">
      <formula1>0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1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6" customWidth="1"/>
    <col min="3" max="16" width="15" customWidth="1"/>
    <col min="17" max="22" width="27" customWidth="1"/>
  </cols>
  <sheetData>
    <row r="1" spans="1:22" ht="18" x14ac:dyDescent="0.35">
      <c r="A1" s="1" t="s">
        <v>104</v>
      </c>
    </row>
    <row r="2" spans="1:22" x14ac:dyDescent="0.3">
      <c r="A2" s="8" t="s">
        <v>105</v>
      </c>
    </row>
    <row r="6" spans="1:22" ht="60" customHeight="1" x14ac:dyDescent="0.3">
      <c r="A6" s="10" t="s">
        <v>57</v>
      </c>
      <c r="B6" s="10" t="s">
        <v>106</v>
      </c>
      <c r="C6" s="10" t="s">
        <v>107</v>
      </c>
      <c r="D6" s="10" t="s">
        <v>108</v>
      </c>
      <c r="E6" s="10" t="s">
        <v>109</v>
      </c>
      <c r="F6" s="10" t="s">
        <v>110</v>
      </c>
      <c r="G6" s="10" t="s">
        <v>111</v>
      </c>
      <c r="H6" s="10" t="s">
        <v>112</v>
      </c>
      <c r="I6" s="10" t="s">
        <v>113</v>
      </c>
      <c r="J6" s="10" t="s">
        <v>114</v>
      </c>
      <c r="K6" s="10" t="s">
        <v>115</v>
      </c>
      <c r="L6" s="10" t="s">
        <v>116</v>
      </c>
      <c r="M6" s="10" t="s">
        <v>117</v>
      </c>
      <c r="N6" s="10" t="s">
        <v>118</v>
      </c>
      <c r="O6" s="10" t="s">
        <v>119</v>
      </c>
      <c r="P6" s="10" t="s">
        <v>120</v>
      </c>
      <c r="Q6" s="10" t="s">
        <v>121</v>
      </c>
      <c r="R6" s="10" t="s">
        <v>122</v>
      </c>
      <c r="S6" s="10" t="s">
        <v>123</v>
      </c>
      <c r="T6" s="10" t="s">
        <v>124</v>
      </c>
      <c r="U6" s="10" t="s">
        <v>125</v>
      </c>
      <c r="V6" s="10" t="s">
        <v>126</v>
      </c>
    </row>
    <row r="7" spans="1:22" x14ac:dyDescent="0.3">
      <c r="A7" s="17"/>
      <c r="B7" s="17"/>
      <c r="C7" s="17" t="s">
        <v>127</v>
      </c>
      <c r="D7" s="17" t="s">
        <v>128</v>
      </c>
      <c r="E7" s="17" t="s">
        <v>128</v>
      </c>
      <c r="F7" s="17" t="s">
        <v>128</v>
      </c>
      <c r="G7" s="17" t="s">
        <v>128</v>
      </c>
      <c r="H7" s="17" t="s">
        <v>129</v>
      </c>
      <c r="I7" s="17" t="s">
        <v>129</v>
      </c>
      <c r="J7" s="17" t="s">
        <v>130</v>
      </c>
      <c r="K7" s="17" t="s">
        <v>128</v>
      </c>
      <c r="L7" s="17" t="s">
        <v>128</v>
      </c>
      <c r="M7" s="17" t="s">
        <v>131</v>
      </c>
      <c r="N7" s="17" t="s">
        <v>131</v>
      </c>
      <c r="O7" s="17" t="s">
        <v>131</v>
      </c>
      <c r="P7" s="17" t="s">
        <v>131</v>
      </c>
      <c r="Q7" s="17"/>
      <c r="R7" s="17"/>
      <c r="S7" s="17"/>
      <c r="T7" s="17"/>
      <c r="U7" s="17"/>
      <c r="V7" s="17"/>
    </row>
    <row r="8" spans="1:22" x14ac:dyDescent="0.3">
      <c r="A8" s="18" t="s">
        <v>132</v>
      </c>
      <c r="B8" s="18" t="s">
        <v>133</v>
      </c>
      <c r="C8" s="19">
        <f>History!B16</f>
        <v>60.6</v>
      </c>
      <c r="F8" s="19">
        <f>History!N16</f>
        <v>44.055904381972042</v>
      </c>
      <c r="G8" s="19">
        <f>History!O16</f>
        <v>1.261023468109655</v>
      </c>
      <c r="H8" s="19">
        <f>History!H16</f>
        <v>1.9166773333333329</v>
      </c>
      <c r="I8" s="19">
        <f>History!T16</f>
        <v>1.3591036666666665</v>
      </c>
      <c r="J8" s="19">
        <f>History!I16</f>
        <v>0.78176069229489098</v>
      </c>
      <c r="K8" s="19">
        <f>History!R16</f>
        <v>2.8649674490205648</v>
      </c>
      <c r="L8" s="19">
        <f>History!S16</f>
        <v>4.2386431350822438</v>
      </c>
    </row>
    <row r="9" spans="1:22" x14ac:dyDescent="0.3">
      <c r="A9" s="18" t="s">
        <v>134</v>
      </c>
      <c r="B9" s="18" t="s">
        <v>133</v>
      </c>
      <c r="C9" s="19">
        <f>History!B17</f>
        <v>68.633333333333326</v>
      </c>
      <c r="D9" s="19">
        <f t="shared" ref="D9:D41" si="0">400*LN(C9/C8)</f>
        <v>49.793372916146097</v>
      </c>
      <c r="F9" s="19">
        <f>History!N17</f>
        <v>6.8841559284253533</v>
      </c>
      <c r="G9" s="19">
        <f>History!O17</f>
        <v>6.3708245310010989</v>
      </c>
      <c r="H9" s="19">
        <f>History!H17</f>
        <v>2.8931446666666671</v>
      </c>
      <c r="I9" s="19">
        <f>History!T17</f>
        <v>2.4049110000000002</v>
      </c>
      <c r="J9" s="19">
        <f>History!I17</f>
        <v>1.039445516757326</v>
      </c>
      <c r="K9" s="19">
        <f>History!R17</f>
        <v>0.83221265782977105</v>
      </c>
      <c r="L9" s="19">
        <f>History!S17</f>
        <v>4.0353301267593427</v>
      </c>
    </row>
    <row r="10" spans="1:22" x14ac:dyDescent="0.3">
      <c r="A10" s="18" t="s">
        <v>135</v>
      </c>
      <c r="B10" s="18" t="s">
        <v>133</v>
      </c>
      <c r="C10" s="19">
        <f>History!B18</f>
        <v>73</v>
      </c>
      <c r="D10" s="19">
        <f t="shared" si="0"/>
        <v>24.67244631310286</v>
      </c>
      <c r="F10" s="19">
        <f>History!N18</f>
        <v>19.54680447021595</v>
      </c>
      <c r="G10" s="19">
        <f>History!O18</f>
        <v>7.7065267353542755</v>
      </c>
      <c r="H10" s="19">
        <f>History!H18</f>
        <v>3.2483949999999999</v>
      </c>
      <c r="I10" s="19">
        <f>History!T18</f>
        <v>3.0707698333333333</v>
      </c>
      <c r="J10" s="19">
        <f>History!I18</f>
        <v>1.328281186509549</v>
      </c>
      <c r="K10" s="19">
        <f>History!R18</f>
        <v>-2.4369498579738789</v>
      </c>
      <c r="L10" s="19">
        <f>History!S18</f>
        <v>3.1715553981464164</v>
      </c>
    </row>
    <row r="11" spans="1:22" x14ac:dyDescent="0.3">
      <c r="A11" s="18" t="s">
        <v>136</v>
      </c>
      <c r="B11" s="18" t="s">
        <v>133</v>
      </c>
      <c r="C11" s="19">
        <f>History!B19</f>
        <v>79.600000000000009</v>
      </c>
      <c r="D11" s="19">
        <f t="shared" si="0"/>
        <v>34.621860680778546</v>
      </c>
      <c r="F11" s="19">
        <f>History!N19</f>
        <v>35.247975717839665</v>
      </c>
      <c r="G11" s="19">
        <f>History!O19</f>
        <v>9.0604705098978844</v>
      </c>
      <c r="H11" s="19">
        <f>History!H19</f>
        <v>4.2794146666666668</v>
      </c>
      <c r="I11" s="19">
        <f>History!T19</f>
        <v>3.7639048333333331</v>
      </c>
      <c r="J11" s="19">
        <f>History!I19</f>
        <v>1.6638247831838899</v>
      </c>
      <c r="K11" s="19">
        <f>History!R19</f>
        <v>2.2649099277219435</v>
      </c>
      <c r="L11" s="19">
        <f>History!S19</f>
        <v>2.9891538089215657</v>
      </c>
    </row>
    <row r="12" spans="1:22" x14ac:dyDescent="0.3">
      <c r="A12" s="18" t="s">
        <v>137</v>
      </c>
      <c r="B12" s="18" t="s">
        <v>133</v>
      </c>
      <c r="C12" s="19">
        <f>History!B20</f>
        <v>98.966666666666654</v>
      </c>
      <c r="D12" s="19">
        <f t="shared" si="0"/>
        <v>87.107600100506772</v>
      </c>
      <c r="F12" s="19">
        <f>History!N20</f>
        <v>49.3797764038558</v>
      </c>
      <c r="G12" s="19">
        <f>History!O20</f>
        <v>10.606801553526497</v>
      </c>
      <c r="H12" s="19">
        <f>History!H20</f>
        <v>3.1419513333333331</v>
      </c>
      <c r="I12" s="19">
        <f>History!T20</f>
        <v>3.710683</v>
      </c>
      <c r="J12" s="19">
        <f>History!I20</f>
        <v>1.863994917676955</v>
      </c>
      <c r="K12" s="19">
        <f>History!R20</f>
        <v>-5.0579242965686344</v>
      </c>
      <c r="L12" s="19">
        <f>History!S20</f>
        <v>2.5590281231496146</v>
      </c>
    </row>
    <row r="13" spans="1:22" x14ac:dyDescent="0.3">
      <c r="A13" s="18" t="s">
        <v>138</v>
      </c>
      <c r="B13" s="18" t="s">
        <v>133</v>
      </c>
      <c r="C13" s="19">
        <f>History!B21</f>
        <v>112.76666666666669</v>
      </c>
      <c r="D13" s="19">
        <f t="shared" si="0"/>
        <v>52.215077606779595</v>
      </c>
      <c r="F13" s="19">
        <f>History!N21</f>
        <v>34.565613597216213</v>
      </c>
      <c r="G13" s="19">
        <f>History!O21</f>
        <v>12.377149223215502</v>
      </c>
      <c r="H13" s="19">
        <f>History!H21</f>
        <v>2.935063</v>
      </c>
      <c r="I13" s="19">
        <f>History!T21</f>
        <v>3.0385071666666663</v>
      </c>
      <c r="J13" s="19">
        <f>History!I21</f>
        <v>1.932085352944453</v>
      </c>
      <c r="K13" s="19">
        <f>History!R21</f>
        <v>-2.9735578961676499</v>
      </c>
      <c r="L13" s="19">
        <f>History!S21</f>
        <v>-0.18801475159583148</v>
      </c>
    </row>
    <row r="14" spans="1:22" x14ac:dyDescent="0.3">
      <c r="A14" s="18" t="s">
        <v>139</v>
      </c>
      <c r="B14" s="18" t="s">
        <v>133</v>
      </c>
      <c r="C14" s="19">
        <f>History!B22</f>
        <v>99.233333333333334</v>
      </c>
      <c r="D14" s="19">
        <f t="shared" si="0"/>
        <v>-51.13872310597295</v>
      </c>
      <c r="F14" s="19">
        <f>History!N22</f>
        <v>-46.617389076088308</v>
      </c>
      <c r="G14" s="19">
        <f>History!O22</f>
        <v>10.447792172448651</v>
      </c>
      <c r="H14" s="19">
        <f>History!H22</f>
        <v>1.5306163333333329</v>
      </c>
      <c r="I14" s="19">
        <f>History!T22</f>
        <v>2.2328396666666666</v>
      </c>
      <c r="J14" s="19">
        <f>History!I22</f>
        <v>1.863192930104441</v>
      </c>
      <c r="K14" s="19">
        <f>History!R22</f>
        <v>0.23036525412416628</v>
      </c>
      <c r="L14" s="19">
        <f>History!S22</f>
        <v>-0.93613823012738584</v>
      </c>
    </row>
    <row r="15" spans="1:22" x14ac:dyDescent="0.3">
      <c r="A15" s="18" t="s">
        <v>140</v>
      </c>
      <c r="B15" s="18" t="s">
        <v>133</v>
      </c>
      <c r="C15" s="19">
        <f>History!B23</f>
        <v>88.366666666666674</v>
      </c>
      <c r="D15" s="19">
        <f t="shared" si="0"/>
        <v>-46.391661890700284</v>
      </c>
      <c r="F15" s="19">
        <f>History!N23</f>
        <v>-10.714021726046267</v>
      </c>
      <c r="G15" s="19">
        <f>History!O23</f>
        <v>6.2305251669384889</v>
      </c>
      <c r="H15" s="19">
        <f>History!H23</f>
        <v>1.309895666666667</v>
      </c>
      <c r="I15" s="19">
        <f>History!T23</f>
        <v>1.420256</v>
      </c>
      <c r="J15" s="19">
        <f>History!I23</f>
        <v>1.812160018132366</v>
      </c>
      <c r="K15" s="19">
        <f>History!R23</f>
        <v>2.2745766854742397</v>
      </c>
      <c r="L15" s="19">
        <f>History!S23</f>
        <v>-0.25017500956743477</v>
      </c>
    </row>
    <row r="16" spans="1:22" x14ac:dyDescent="0.3">
      <c r="A16" s="18" t="s">
        <v>141</v>
      </c>
      <c r="B16" s="18" t="s">
        <v>133</v>
      </c>
      <c r="C16" s="19">
        <f>History!B24</f>
        <v>81.433333333333337</v>
      </c>
      <c r="D16" s="19">
        <f t="shared" si="0"/>
        <v>-32.684054012514061</v>
      </c>
      <c r="F16" s="19">
        <f>History!N24</f>
        <v>-4.8658536279334976</v>
      </c>
      <c r="G16" s="19">
        <f>History!O24</f>
        <v>3.4350357646341876</v>
      </c>
      <c r="H16" s="19">
        <f>History!H24</f>
        <v>-0.1532793333333333</v>
      </c>
      <c r="I16" s="19">
        <f>History!T24</f>
        <v>0.57830816666666685</v>
      </c>
      <c r="J16" s="19">
        <f>History!I24</f>
        <v>1.693346957311535</v>
      </c>
      <c r="K16" s="19">
        <f>History!R24</f>
        <v>0.91129858563980626</v>
      </c>
      <c r="L16" s="19">
        <f>History!S24</f>
        <v>-0.49438361749002957</v>
      </c>
    </row>
    <row r="17" spans="1:22" x14ac:dyDescent="0.3">
      <c r="A17" s="18" t="s">
        <v>29</v>
      </c>
      <c r="B17" s="18" t="s">
        <v>133</v>
      </c>
      <c r="C17" s="19">
        <f>History!B25</f>
        <v>78.233333333333334</v>
      </c>
      <c r="D17" s="19">
        <f t="shared" si="0"/>
        <v>-16.035550162686796</v>
      </c>
      <c r="F17" s="19">
        <f>History!N25</f>
        <v>-10.249406032478745</v>
      </c>
      <c r="G17" s="19">
        <f>History!O25</f>
        <v>2.2534780149525226</v>
      </c>
      <c r="H17" s="19">
        <f>History!H25</f>
        <v>-1.3193496666666671</v>
      </c>
      <c r="I17" s="19">
        <f>History!T25</f>
        <v>-0.7363145000000002</v>
      </c>
      <c r="J17" s="19">
        <f>History!I25</f>
        <v>1.6004714863044449</v>
      </c>
      <c r="K17" s="19">
        <f>History!R25</f>
        <v>3.9909759049979314</v>
      </c>
      <c r="L17" s="19">
        <f>History!S25</f>
        <v>-9.9538211594009551E-2</v>
      </c>
    </row>
    <row r="18" spans="1:22" x14ac:dyDescent="0.3">
      <c r="A18" s="18" t="s">
        <v>77</v>
      </c>
      <c r="B18" s="19" t="str">
        <f>IF(A18&lt;=Settings!$B$7,"Forecast","Beyond horizon")</f>
        <v>Forecast</v>
      </c>
      <c r="C18" s="19">
        <f>IF(ISBLANK(Inputs_A!C8),C17,Inputs_A!C8)</f>
        <v>78.233333333333334</v>
      </c>
      <c r="D18" s="19">
        <f t="shared" si="0"/>
        <v>0</v>
      </c>
      <c r="E18" s="19">
        <f>Aux_Models!$B$6+Aux_Models!$B$7*D18</f>
        <v>1.8686902423038689</v>
      </c>
      <c r="F18" s="19">
        <f>IF(ISBLANK(Inputs_A!D8),E18,100*LN(1+Inputs_A!D8/100))</f>
        <v>1.8686902423038689</v>
      </c>
      <c r="G18" s="19" t="str">
        <f>IF(ISBLANK(Inputs_A!E8),"wage-linked",100*LN(1+Inputs_A!E8/100))</f>
        <v>wage-linked</v>
      </c>
      <c r="H18" s="19">
        <f>IF(ISBLANK(Inputs_A!F8),Aux_Models!$B$8+Aux_Models!$B$9*H17,Inputs_A!F8)</f>
        <v>-1.1438548990829021</v>
      </c>
      <c r="I18" s="19">
        <f t="shared" ref="I18:I41" si="1">AVERAGE(H17:H18)</f>
        <v>-1.2316022828747846</v>
      </c>
      <c r="J18" s="19">
        <f>IF(ISBLANK(Inputs_A!G8),J17,Inputs_A!G8)</f>
        <v>1.6004714863044449</v>
      </c>
      <c r="K18" s="19">
        <f>IF(ISBLANK(Inputs_A!H8),K10,100*LN(1+Inputs_A!H8/100))</f>
        <v>-2.4369498579738789</v>
      </c>
      <c r="L18" s="19">
        <f t="shared" ref="L18:L41" si="2">AVERAGE(K11:K18)</f>
        <v>-9.9538211594009551E-2</v>
      </c>
      <c r="M18" s="19">
        <f>IF(ISBLANK(Inputs_A!I8),0,Inputs_A!I8)</f>
        <v>0</v>
      </c>
      <c r="N18" s="19">
        <f>IF(ISBLANK(Inputs_A!J8),0,Inputs_A!J8)</f>
        <v>0</v>
      </c>
      <c r="O18" s="19">
        <f>IF(ISBLANK(Inputs_A!K8),0,Inputs_A!K8)</f>
        <v>0</v>
      </c>
      <c r="P18" s="19">
        <f>IF(ISBLANK(Inputs_A!L8),0,Inputs_A!L8)</f>
        <v>0</v>
      </c>
      <c r="Q18" s="19" t="str">
        <f>IF(ISBLANK(Inputs_A!C8),"default: carried forward","user")</f>
        <v>default: carried forward</v>
      </c>
      <c r="R18" s="19" t="str">
        <f>IF(NOT(ISBLANK(Inputs_A!D8)),"user (CPI energy override)",IF(ISBLANK(Inputs_A!C8),"oil bridge, Brent default","oil bridge, Brent user"))</f>
        <v>oil bridge, Brent default</v>
      </c>
      <c r="S18" s="19" t="str">
        <f>IF(ISBLANK(Inputs_A!E8),"default: wage-linked","user")</f>
        <v>default: wage-linked</v>
      </c>
      <c r="T18" s="19" t="str">
        <f>IF(ISBLANK(Inputs_A!F8),"default: AR(1)","user")</f>
        <v>default: AR(1)</v>
      </c>
      <c r="U18" s="19" t="str">
        <f>IF(ISBLANK(Inputs_A!G8),"default: carried forward","user")</f>
        <v>default: carried forward</v>
      </c>
      <c r="V18" s="19" t="str">
        <f>IF(ISBLANK(Inputs_A!H8),"default: trend held","user")</f>
        <v>default: trend held</v>
      </c>
    </row>
    <row r="19" spans="1:22" x14ac:dyDescent="0.3">
      <c r="A19" s="18" t="s">
        <v>79</v>
      </c>
      <c r="B19" s="19" t="str">
        <f>IF(A19&lt;=Settings!$B$7,"Forecast","Beyond horizon")</f>
        <v>Forecast</v>
      </c>
      <c r="C19" s="19">
        <f>IF(ISBLANK(Inputs_A!C9),C18,Inputs_A!C9)</f>
        <v>78.233333333333334</v>
      </c>
      <c r="D19" s="19">
        <f t="shared" si="0"/>
        <v>0</v>
      </c>
      <c r="E19" s="19">
        <f>Aux_Models!$B$6+Aux_Models!$B$7*D19</f>
        <v>1.8686902423038689</v>
      </c>
      <c r="F19" s="19">
        <f>IF(ISBLANK(Inputs_A!D9),E19,100*LN(1+Inputs_A!D9/100))</f>
        <v>1.8686902423038689</v>
      </c>
      <c r="G19" s="19" t="str">
        <f>IF(ISBLANK(Inputs_A!E9),"wage-linked",100*LN(1+Inputs_A!E9/100))</f>
        <v>wage-linked</v>
      </c>
      <c r="H19" s="19">
        <f>IF(ISBLANK(Inputs_A!F9),Aux_Models!$B$8+Aux_Models!$B$9*H18,Inputs_A!F9)</f>
        <v>-0.99271864035172963</v>
      </c>
      <c r="I19" s="19">
        <f t="shared" si="1"/>
        <v>-1.0682867697173157</v>
      </c>
      <c r="J19" s="19">
        <f>IF(ISBLANK(Inputs_A!G9),J18,Inputs_A!G9)</f>
        <v>1.6004714863044449</v>
      </c>
      <c r="K19" s="19">
        <f>IF(ISBLANK(Inputs_A!H9),K11,100*LN(1+Inputs_A!H9/100))</f>
        <v>2.2649099277219435</v>
      </c>
      <c r="L19" s="19">
        <f t="shared" si="2"/>
        <v>-9.9538211594009496E-2</v>
      </c>
      <c r="M19" s="19">
        <f>IF(ISBLANK(Inputs_A!I9),0,Inputs_A!I9)</f>
        <v>0</v>
      </c>
      <c r="N19" s="19">
        <f>IF(ISBLANK(Inputs_A!J9),0,Inputs_A!J9)</f>
        <v>0</v>
      </c>
      <c r="O19" s="19">
        <f>IF(ISBLANK(Inputs_A!K9),0,Inputs_A!K9)</f>
        <v>0</v>
      </c>
      <c r="P19" s="19">
        <f>IF(ISBLANK(Inputs_A!L9),0,Inputs_A!L9)</f>
        <v>0</v>
      </c>
      <c r="Q19" s="19" t="str">
        <f>IF(ISBLANK(Inputs_A!C9),"default: carried forward","user")</f>
        <v>default: carried forward</v>
      </c>
      <c r="R19" s="19" t="str">
        <f>IF(NOT(ISBLANK(Inputs_A!D9)),"user (CPI energy override)",IF(ISBLANK(Inputs_A!C9),"oil bridge, Brent default","oil bridge, Brent user"))</f>
        <v>oil bridge, Brent default</v>
      </c>
      <c r="S19" s="19" t="str">
        <f>IF(ISBLANK(Inputs_A!E9),"default: wage-linked","user")</f>
        <v>default: wage-linked</v>
      </c>
      <c r="T19" s="19" t="str">
        <f>IF(ISBLANK(Inputs_A!F9),"default: AR(1)","user")</f>
        <v>default: AR(1)</v>
      </c>
      <c r="U19" s="19" t="str">
        <f>IF(ISBLANK(Inputs_A!G9),"default: carried forward","user")</f>
        <v>default: carried forward</v>
      </c>
      <c r="V19" s="19" t="str">
        <f>IF(ISBLANK(Inputs_A!H9),"default: trend held","user")</f>
        <v>default: trend held</v>
      </c>
    </row>
    <row r="20" spans="1:22" x14ac:dyDescent="0.3">
      <c r="A20" s="18" t="s">
        <v>80</v>
      </c>
      <c r="B20" s="19" t="str">
        <f>IF(A20&lt;=Settings!$B$7,"Forecast","Beyond horizon")</f>
        <v>Forecast</v>
      </c>
      <c r="C20" s="19">
        <f>IF(ISBLANK(Inputs_A!C10),C19,Inputs_A!C10)</f>
        <v>78.233333333333334</v>
      </c>
      <c r="D20" s="19">
        <f t="shared" si="0"/>
        <v>0</v>
      </c>
      <c r="E20" s="19">
        <f>Aux_Models!$B$6+Aux_Models!$B$7*D20</f>
        <v>1.8686902423038689</v>
      </c>
      <c r="F20" s="19">
        <f>IF(ISBLANK(Inputs_A!D10),E20,100*LN(1+Inputs_A!D10/100))</f>
        <v>1.8686902423038689</v>
      </c>
      <c r="G20" s="19" t="str">
        <f>IF(ISBLANK(Inputs_A!E10),"wage-linked",100*LN(1+Inputs_A!E10/100))</f>
        <v>wage-linked</v>
      </c>
      <c r="H20" s="19">
        <f>IF(ISBLANK(Inputs_A!F10),Aux_Models!$B$8+Aux_Models!$B$9*H19,Inputs_A!F10)</f>
        <v>-0.86255995233071425</v>
      </c>
      <c r="I20" s="19">
        <f t="shared" si="1"/>
        <v>-0.92763929634122189</v>
      </c>
      <c r="J20" s="19">
        <f>IF(ISBLANK(Inputs_A!G10),J19,Inputs_A!G10)</f>
        <v>1.6004714863044449</v>
      </c>
      <c r="K20" s="19">
        <f>IF(ISBLANK(Inputs_A!H10),K12,100*LN(1+Inputs_A!H10/100))</f>
        <v>-5.0579242965686344</v>
      </c>
      <c r="L20" s="19">
        <f t="shared" si="2"/>
        <v>-9.9538211594009551E-2</v>
      </c>
      <c r="M20" s="19">
        <f>IF(ISBLANK(Inputs_A!I10),0,Inputs_A!I10)</f>
        <v>0</v>
      </c>
      <c r="N20" s="19">
        <f>IF(ISBLANK(Inputs_A!J10),0,Inputs_A!J10)</f>
        <v>0</v>
      </c>
      <c r="O20" s="19">
        <f>IF(ISBLANK(Inputs_A!K10),0,Inputs_A!K10)</f>
        <v>0</v>
      </c>
      <c r="P20" s="19">
        <f>IF(ISBLANK(Inputs_A!L10),0,Inputs_A!L10)</f>
        <v>0</v>
      </c>
      <c r="Q20" s="19" t="str">
        <f>IF(ISBLANK(Inputs_A!C10),"default: carried forward","user")</f>
        <v>default: carried forward</v>
      </c>
      <c r="R20" s="19" t="str">
        <f>IF(NOT(ISBLANK(Inputs_A!D10)),"user (CPI energy override)",IF(ISBLANK(Inputs_A!C10),"oil bridge, Brent default","oil bridge, Brent user"))</f>
        <v>oil bridge, Brent default</v>
      </c>
      <c r="S20" s="19" t="str">
        <f>IF(ISBLANK(Inputs_A!E10),"default: wage-linked","user")</f>
        <v>default: wage-linked</v>
      </c>
      <c r="T20" s="19" t="str">
        <f>IF(ISBLANK(Inputs_A!F10),"default: AR(1)","user")</f>
        <v>default: AR(1)</v>
      </c>
      <c r="U20" s="19" t="str">
        <f>IF(ISBLANK(Inputs_A!G10),"default: carried forward","user")</f>
        <v>default: carried forward</v>
      </c>
      <c r="V20" s="19" t="str">
        <f>IF(ISBLANK(Inputs_A!H10),"default: trend held","user")</f>
        <v>default: trend held</v>
      </c>
    </row>
    <row r="21" spans="1:22" x14ac:dyDescent="0.3">
      <c r="A21" s="18" t="s">
        <v>81</v>
      </c>
      <c r="B21" s="19" t="str">
        <f>IF(A21&lt;=Settings!$B$7,"Forecast","Beyond horizon")</f>
        <v>Forecast</v>
      </c>
      <c r="C21" s="19">
        <f>IF(ISBLANK(Inputs_A!C11),C20,Inputs_A!C11)</f>
        <v>78.233333333333334</v>
      </c>
      <c r="D21" s="19">
        <f t="shared" si="0"/>
        <v>0</v>
      </c>
      <c r="E21" s="19">
        <f>Aux_Models!$B$6+Aux_Models!$B$7*D21</f>
        <v>1.8686902423038689</v>
      </c>
      <c r="F21" s="19">
        <f>IF(ISBLANK(Inputs_A!D11),E21,100*LN(1+Inputs_A!D11/100))</f>
        <v>1.8686902423038689</v>
      </c>
      <c r="G21" s="19" t="str">
        <f>IF(ISBLANK(Inputs_A!E11),"wage-linked",100*LN(1+Inputs_A!E11/100))</f>
        <v>wage-linked</v>
      </c>
      <c r="H21" s="19">
        <f>IF(ISBLANK(Inputs_A!F11),Aux_Models!$B$8+Aux_Models!$B$9*H20,Inputs_A!F11)</f>
        <v>-0.75046716791499291</v>
      </c>
      <c r="I21" s="19">
        <f t="shared" si="1"/>
        <v>-0.80651356012285358</v>
      </c>
      <c r="J21" s="19">
        <f>IF(ISBLANK(Inputs_A!G11),J20,Inputs_A!G11)</f>
        <v>1.6004714863044449</v>
      </c>
      <c r="K21" s="19">
        <f>IF(ISBLANK(Inputs_A!H11),K13,100*LN(1+Inputs_A!H11/100))</f>
        <v>-2.9735578961676499</v>
      </c>
      <c r="L21" s="19">
        <f t="shared" si="2"/>
        <v>-9.9538211594009551E-2</v>
      </c>
      <c r="M21" s="19">
        <f>IF(ISBLANK(Inputs_A!I11),0,Inputs_A!I11)</f>
        <v>0</v>
      </c>
      <c r="N21" s="19">
        <f>IF(ISBLANK(Inputs_A!J11),0,Inputs_A!J11)</f>
        <v>0</v>
      </c>
      <c r="O21" s="19">
        <f>IF(ISBLANK(Inputs_A!K11),0,Inputs_A!K11)</f>
        <v>0</v>
      </c>
      <c r="P21" s="19">
        <f>IF(ISBLANK(Inputs_A!L11),0,Inputs_A!L11)</f>
        <v>0</v>
      </c>
      <c r="Q21" s="19" t="str">
        <f>IF(ISBLANK(Inputs_A!C11),"default: carried forward","user")</f>
        <v>default: carried forward</v>
      </c>
      <c r="R21" s="19" t="str">
        <f>IF(NOT(ISBLANK(Inputs_A!D11)),"user (CPI energy override)",IF(ISBLANK(Inputs_A!C11),"oil bridge, Brent default","oil bridge, Brent user"))</f>
        <v>oil bridge, Brent default</v>
      </c>
      <c r="S21" s="19" t="str">
        <f>IF(ISBLANK(Inputs_A!E11),"default: wage-linked","user")</f>
        <v>default: wage-linked</v>
      </c>
      <c r="T21" s="19" t="str">
        <f>IF(ISBLANK(Inputs_A!F11),"default: AR(1)","user")</f>
        <v>default: AR(1)</v>
      </c>
      <c r="U21" s="19" t="str">
        <f>IF(ISBLANK(Inputs_A!G11),"default: carried forward","user")</f>
        <v>default: carried forward</v>
      </c>
      <c r="V21" s="19" t="str">
        <f>IF(ISBLANK(Inputs_A!H11),"default: trend held","user")</f>
        <v>default: trend held</v>
      </c>
    </row>
    <row r="22" spans="1:22" x14ac:dyDescent="0.3">
      <c r="A22" s="18" t="s">
        <v>82</v>
      </c>
      <c r="B22" s="19" t="str">
        <f>IF(A22&lt;=Settings!$B$7,"Forecast","Beyond horizon")</f>
        <v>Forecast</v>
      </c>
      <c r="C22" s="19">
        <f>IF(ISBLANK(Inputs_A!C12),C21,Inputs_A!C12)</f>
        <v>78.233333333333334</v>
      </c>
      <c r="D22" s="19">
        <f t="shared" si="0"/>
        <v>0</v>
      </c>
      <c r="E22" s="19">
        <f>Aux_Models!$B$6+Aux_Models!$B$7*D22</f>
        <v>1.8686902423038689</v>
      </c>
      <c r="F22" s="19">
        <f>IF(ISBLANK(Inputs_A!D12),E22,100*LN(1+Inputs_A!D12/100))</f>
        <v>1.8686902423038689</v>
      </c>
      <c r="G22" s="19" t="str">
        <f>IF(ISBLANK(Inputs_A!E12),"wage-linked",100*LN(1+Inputs_A!E12/100))</f>
        <v>wage-linked</v>
      </c>
      <c r="H22" s="19">
        <f>IF(ISBLANK(Inputs_A!F12),Aux_Models!$B$8+Aux_Models!$B$9*H21,Inputs_A!F12)</f>
        <v>-0.65393275665816852</v>
      </c>
      <c r="I22" s="19">
        <f t="shared" si="1"/>
        <v>-0.70219996228658066</v>
      </c>
      <c r="J22" s="19">
        <f>IF(ISBLANK(Inputs_A!G12),J21,Inputs_A!G12)</f>
        <v>1.6004714863044449</v>
      </c>
      <c r="K22" s="19">
        <f>IF(ISBLANK(Inputs_A!H12),K14,100*LN(1+Inputs_A!H12/100))</f>
        <v>0.23036525412416628</v>
      </c>
      <c r="L22" s="19">
        <f t="shared" si="2"/>
        <v>-9.9538211594009524E-2</v>
      </c>
      <c r="M22" s="19">
        <f>IF(ISBLANK(Inputs_A!I12),0,Inputs_A!I12)</f>
        <v>0</v>
      </c>
      <c r="N22" s="19">
        <f>IF(ISBLANK(Inputs_A!J12),0,Inputs_A!J12)</f>
        <v>0</v>
      </c>
      <c r="O22" s="19">
        <f>IF(ISBLANK(Inputs_A!K12),0,Inputs_A!K12)</f>
        <v>0</v>
      </c>
      <c r="P22" s="19">
        <f>IF(ISBLANK(Inputs_A!L12),0,Inputs_A!L12)</f>
        <v>0</v>
      </c>
      <c r="Q22" s="19" t="str">
        <f>IF(ISBLANK(Inputs_A!C12),"default: carried forward","user")</f>
        <v>default: carried forward</v>
      </c>
      <c r="R22" s="19" t="str">
        <f>IF(NOT(ISBLANK(Inputs_A!D12)),"user (CPI energy override)",IF(ISBLANK(Inputs_A!C12),"oil bridge, Brent default","oil bridge, Brent user"))</f>
        <v>oil bridge, Brent default</v>
      </c>
      <c r="S22" s="19" t="str">
        <f>IF(ISBLANK(Inputs_A!E12),"default: wage-linked","user")</f>
        <v>default: wage-linked</v>
      </c>
      <c r="T22" s="19" t="str">
        <f>IF(ISBLANK(Inputs_A!F12),"default: AR(1)","user")</f>
        <v>default: AR(1)</v>
      </c>
      <c r="U22" s="19" t="str">
        <f>IF(ISBLANK(Inputs_A!G12),"default: carried forward","user")</f>
        <v>default: carried forward</v>
      </c>
      <c r="V22" s="19" t="str">
        <f>IF(ISBLANK(Inputs_A!H12),"default: trend held","user")</f>
        <v>default: trend held</v>
      </c>
    </row>
    <row r="23" spans="1:22" x14ac:dyDescent="0.3">
      <c r="A23" s="18" t="s">
        <v>83</v>
      </c>
      <c r="B23" s="19" t="str">
        <f>IF(A23&lt;=Settings!$B$7,"Forecast","Beyond horizon")</f>
        <v>Forecast</v>
      </c>
      <c r="C23" s="19">
        <f>IF(ISBLANK(Inputs_A!C13),C22,Inputs_A!C13)</f>
        <v>78.233333333333334</v>
      </c>
      <c r="D23" s="19">
        <f t="shared" si="0"/>
        <v>0</v>
      </c>
      <c r="E23" s="19">
        <f>Aux_Models!$B$6+Aux_Models!$B$7*D23</f>
        <v>1.8686902423038689</v>
      </c>
      <c r="F23" s="19">
        <f>IF(ISBLANK(Inputs_A!D13),E23,100*LN(1+Inputs_A!D13/100))</f>
        <v>1.8686902423038689</v>
      </c>
      <c r="G23" s="19" t="str">
        <f>IF(ISBLANK(Inputs_A!E13),"wage-linked",100*LN(1+Inputs_A!E13/100))</f>
        <v>wage-linked</v>
      </c>
      <c r="H23" s="19">
        <f>IF(ISBLANK(Inputs_A!F13),Aux_Models!$B$8+Aux_Models!$B$9*H22,Inputs_A!F13)</f>
        <v>-0.5707972309838264</v>
      </c>
      <c r="I23" s="19">
        <f t="shared" si="1"/>
        <v>-0.61236499382099741</v>
      </c>
      <c r="J23" s="19">
        <f>IF(ISBLANK(Inputs_A!G13),J22,Inputs_A!G13)</f>
        <v>1.6004714863044449</v>
      </c>
      <c r="K23" s="19">
        <f>IF(ISBLANK(Inputs_A!H13),K15,100*LN(1+Inputs_A!H13/100))</f>
        <v>2.2745766854742397</v>
      </c>
      <c r="L23" s="19">
        <f t="shared" si="2"/>
        <v>-9.953821159400944E-2</v>
      </c>
      <c r="M23" s="19">
        <f>IF(ISBLANK(Inputs_A!I13),0,Inputs_A!I13)</f>
        <v>0</v>
      </c>
      <c r="N23" s="19">
        <f>IF(ISBLANK(Inputs_A!J13),0,Inputs_A!J13)</f>
        <v>0</v>
      </c>
      <c r="O23" s="19">
        <f>IF(ISBLANK(Inputs_A!K13),0,Inputs_A!K13)</f>
        <v>0</v>
      </c>
      <c r="P23" s="19">
        <f>IF(ISBLANK(Inputs_A!L13),0,Inputs_A!L13)</f>
        <v>0</v>
      </c>
      <c r="Q23" s="19" t="str">
        <f>IF(ISBLANK(Inputs_A!C13),"default: carried forward","user")</f>
        <v>default: carried forward</v>
      </c>
      <c r="R23" s="19" t="str">
        <f>IF(NOT(ISBLANK(Inputs_A!D13)),"user (CPI energy override)",IF(ISBLANK(Inputs_A!C13),"oil bridge, Brent default","oil bridge, Brent user"))</f>
        <v>oil bridge, Brent default</v>
      </c>
      <c r="S23" s="19" t="str">
        <f>IF(ISBLANK(Inputs_A!E13),"default: wage-linked","user")</f>
        <v>default: wage-linked</v>
      </c>
      <c r="T23" s="19" t="str">
        <f>IF(ISBLANK(Inputs_A!F13),"default: AR(1)","user")</f>
        <v>default: AR(1)</v>
      </c>
      <c r="U23" s="19" t="str">
        <f>IF(ISBLANK(Inputs_A!G13),"default: carried forward","user")</f>
        <v>default: carried forward</v>
      </c>
      <c r="V23" s="19" t="str">
        <f>IF(ISBLANK(Inputs_A!H13),"default: trend held","user")</f>
        <v>default: trend held</v>
      </c>
    </row>
    <row r="24" spans="1:22" x14ac:dyDescent="0.3">
      <c r="A24" s="18" t="s">
        <v>84</v>
      </c>
      <c r="B24" s="19" t="str">
        <f>IF(A24&lt;=Settings!$B$7,"Forecast","Beyond horizon")</f>
        <v>Forecast</v>
      </c>
      <c r="C24" s="19">
        <f>IF(ISBLANK(Inputs_A!C14),C23,Inputs_A!C14)</f>
        <v>78.233333333333334</v>
      </c>
      <c r="D24" s="19">
        <f t="shared" si="0"/>
        <v>0</v>
      </c>
      <c r="E24" s="19">
        <f>Aux_Models!$B$6+Aux_Models!$B$7*D24</f>
        <v>1.8686902423038689</v>
      </c>
      <c r="F24" s="19">
        <f>IF(ISBLANK(Inputs_A!D14),E24,100*LN(1+Inputs_A!D14/100))</f>
        <v>1.8686902423038689</v>
      </c>
      <c r="G24" s="19" t="str">
        <f>IF(ISBLANK(Inputs_A!E14),"wage-linked",100*LN(1+Inputs_A!E14/100))</f>
        <v>wage-linked</v>
      </c>
      <c r="H24" s="19">
        <f>IF(ISBLANK(Inputs_A!F14),Aux_Models!$B$8+Aux_Models!$B$9*H23,Inputs_A!F14)</f>
        <v>-0.49920083816218802</v>
      </c>
      <c r="I24" s="19">
        <f t="shared" si="1"/>
        <v>-0.53499903457300724</v>
      </c>
      <c r="J24" s="19">
        <f>IF(ISBLANK(Inputs_A!G14),J23,Inputs_A!G14)</f>
        <v>1.6004714863044449</v>
      </c>
      <c r="K24" s="19">
        <f>IF(ISBLANK(Inputs_A!H14),K16,100*LN(1+Inputs_A!H14/100))</f>
        <v>0.91129858563980626</v>
      </c>
      <c r="L24" s="19">
        <f t="shared" si="2"/>
        <v>-9.9538211594009565E-2</v>
      </c>
      <c r="M24" s="19">
        <f>IF(ISBLANK(Inputs_A!I14),0,Inputs_A!I14)</f>
        <v>0</v>
      </c>
      <c r="N24" s="19">
        <f>IF(ISBLANK(Inputs_A!J14),0,Inputs_A!J14)</f>
        <v>0</v>
      </c>
      <c r="O24" s="19">
        <f>IF(ISBLANK(Inputs_A!K14),0,Inputs_A!K14)</f>
        <v>0</v>
      </c>
      <c r="P24" s="19">
        <f>IF(ISBLANK(Inputs_A!L14),0,Inputs_A!L14)</f>
        <v>0</v>
      </c>
      <c r="Q24" s="19" t="str">
        <f>IF(ISBLANK(Inputs_A!C14),"default: carried forward","user")</f>
        <v>default: carried forward</v>
      </c>
      <c r="R24" s="19" t="str">
        <f>IF(NOT(ISBLANK(Inputs_A!D14)),"user (CPI energy override)",IF(ISBLANK(Inputs_A!C14),"oil bridge, Brent default","oil bridge, Brent user"))</f>
        <v>oil bridge, Brent default</v>
      </c>
      <c r="S24" s="19" t="str">
        <f>IF(ISBLANK(Inputs_A!E14),"default: wage-linked","user")</f>
        <v>default: wage-linked</v>
      </c>
      <c r="T24" s="19" t="str">
        <f>IF(ISBLANK(Inputs_A!F14),"default: AR(1)","user")</f>
        <v>default: AR(1)</v>
      </c>
      <c r="U24" s="19" t="str">
        <f>IF(ISBLANK(Inputs_A!G14),"default: carried forward","user")</f>
        <v>default: carried forward</v>
      </c>
      <c r="V24" s="19" t="str">
        <f>IF(ISBLANK(Inputs_A!H14),"default: trend held","user")</f>
        <v>default: trend held</v>
      </c>
    </row>
    <row r="25" spans="1:22" x14ac:dyDescent="0.3">
      <c r="A25" s="18" t="s">
        <v>85</v>
      </c>
      <c r="B25" s="19" t="str">
        <f>IF(A25&lt;=Settings!$B$7,"Forecast","Beyond horizon")</f>
        <v>Forecast</v>
      </c>
      <c r="C25" s="19">
        <f>IF(ISBLANK(Inputs_A!C15),C24,Inputs_A!C15)</f>
        <v>78.233333333333334</v>
      </c>
      <c r="D25" s="19">
        <f t="shared" si="0"/>
        <v>0</v>
      </c>
      <c r="E25" s="19">
        <f>Aux_Models!$B$6+Aux_Models!$B$7*D25</f>
        <v>1.8686902423038689</v>
      </c>
      <c r="F25" s="19">
        <f>IF(ISBLANK(Inputs_A!D15),E25,100*LN(1+Inputs_A!D15/100))</f>
        <v>1.8686902423038689</v>
      </c>
      <c r="G25" s="19" t="str">
        <f>IF(ISBLANK(Inputs_A!E15),"wage-linked",100*LN(1+Inputs_A!E15/100))</f>
        <v>wage-linked</v>
      </c>
      <c r="H25" s="19">
        <f>IF(ISBLANK(Inputs_A!F15),Aux_Models!$B$8+Aux_Models!$B$9*H24,Inputs_A!F15)</f>
        <v>-0.43754195739501683</v>
      </c>
      <c r="I25" s="19">
        <f t="shared" si="1"/>
        <v>-0.46837139777860243</v>
      </c>
      <c r="J25" s="19">
        <f>IF(ISBLANK(Inputs_A!G15),J24,Inputs_A!G15)</f>
        <v>1.6004714863044449</v>
      </c>
      <c r="K25" s="19">
        <f>IF(ISBLANK(Inputs_A!H15),K17,100*LN(1+Inputs_A!H15/100))</f>
        <v>3.9909759049979314</v>
      </c>
      <c r="L25" s="19">
        <f t="shared" si="2"/>
        <v>-9.9538211594009551E-2</v>
      </c>
      <c r="M25" s="19">
        <f>IF(ISBLANK(Inputs_A!I15),0,Inputs_A!I15)</f>
        <v>0</v>
      </c>
      <c r="N25" s="19">
        <f>IF(ISBLANK(Inputs_A!J15),0,Inputs_A!J15)</f>
        <v>0</v>
      </c>
      <c r="O25" s="19">
        <f>IF(ISBLANK(Inputs_A!K15),0,Inputs_A!K15)</f>
        <v>0</v>
      </c>
      <c r="P25" s="19">
        <f>IF(ISBLANK(Inputs_A!L15),0,Inputs_A!L15)</f>
        <v>0</v>
      </c>
      <c r="Q25" s="19" t="str">
        <f>IF(ISBLANK(Inputs_A!C15),"default: carried forward","user")</f>
        <v>default: carried forward</v>
      </c>
      <c r="R25" s="19" t="str">
        <f>IF(NOT(ISBLANK(Inputs_A!D15)),"user (CPI energy override)",IF(ISBLANK(Inputs_A!C15),"oil bridge, Brent default","oil bridge, Brent user"))</f>
        <v>oil bridge, Brent default</v>
      </c>
      <c r="S25" s="19" t="str">
        <f>IF(ISBLANK(Inputs_A!E15),"default: wage-linked","user")</f>
        <v>default: wage-linked</v>
      </c>
      <c r="T25" s="19" t="str">
        <f>IF(ISBLANK(Inputs_A!F15),"default: AR(1)","user")</f>
        <v>default: AR(1)</v>
      </c>
      <c r="U25" s="19" t="str">
        <f>IF(ISBLANK(Inputs_A!G15),"default: carried forward","user")</f>
        <v>default: carried forward</v>
      </c>
      <c r="V25" s="19" t="str">
        <f>IF(ISBLANK(Inputs_A!H15),"default: trend held","user")</f>
        <v>default: trend held</v>
      </c>
    </row>
    <row r="26" spans="1:22" x14ac:dyDescent="0.3">
      <c r="A26" s="18" t="s">
        <v>86</v>
      </c>
      <c r="B26" s="19" t="str">
        <f>IF(A26&lt;=Settings!$B$7,"Forecast","Beyond horizon")</f>
        <v>Forecast</v>
      </c>
      <c r="C26" s="19">
        <f>IF(ISBLANK(Inputs_A!C16),C25,Inputs_A!C16)</f>
        <v>78.233333333333334</v>
      </c>
      <c r="D26" s="19">
        <f t="shared" si="0"/>
        <v>0</v>
      </c>
      <c r="E26" s="19">
        <f>Aux_Models!$B$6+Aux_Models!$B$7*D26</f>
        <v>1.8686902423038689</v>
      </c>
      <c r="F26" s="19">
        <f>IF(ISBLANK(Inputs_A!D16),E26,100*LN(1+Inputs_A!D16/100))</f>
        <v>1.8686902423038689</v>
      </c>
      <c r="G26" s="19" t="str">
        <f>IF(ISBLANK(Inputs_A!E16),"wage-linked",100*LN(1+Inputs_A!E16/100))</f>
        <v>wage-linked</v>
      </c>
      <c r="H26" s="19">
        <f>IF(ISBLANK(Inputs_A!F16),Aux_Models!$B$8+Aux_Models!$B$9*H25,Inputs_A!F16)</f>
        <v>-0.38444127134605127</v>
      </c>
      <c r="I26" s="19">
        <f t="shared" si="1"/>
        <v>-0.41099161437053405</v>
      </c>
      <c r="J26" s="19">
        <f>IF(ISBLANK(Inputs_A!G16),J25,Inputs_A!G16)</f>
        <v>1.6004714863044449</v>
      </c>
      <c r="K26" s="19">
        <f>IF(ISBLANK(Inputs_A!H16),K18,100*LN(1+Inputs_A!H16/100))</f>
        <v>-2.4369498579738789</v>
      </c>
      <c r="L26" s="19">
        <f t="shared" si="2"/>
        <v>-9.9538211594009551E-2</v>
      </c>
      <c r="M26" s="19">
        <f>IF(ISBLANK(Inputs_A!I16),0,Inputs_A!I16)</f>
        <v>0</v>
      </c>
      <c r="N26" s="19">
        <f>IF(ISBLANK(Inputs_A!J16),0,Inputs_A!J16)</f>
        <v>0</v>
      </c>
      <c r="O26" s="19">
        <f>IF(ISBLANK(Inputs_A!K16),0,Inputs_A!K16)</f>
        <v>0</v>
      </c>
      <c r="P26" s="19">
        <f>IF(ISBLANK(Inputs_A!L16),0,Inputs_A!L16)</f>
        <v>0</v>
      </c>
      <c r="Q26" s="19" t="str">
        <f>IF(ISBLANK(Inputs_A!C16),"default: carried forward","user")</f>
        <v>default: carried forward</v>
      </c>
      <c r="R26" s="19" t="str">
        <f>IF(NOT(ISBLANK(Inputs_A!D16)),"user (CPI energy override)",IF(ISBLANK(Inputs_A!C16),"oil bridge, Brent default","oil bridge, Brent user"))</f>
        <v>oil bridge, Brent default</v>
      </c>
      <c r="S26" s="19" t="str">
        <f>IF(ISBLANK(Inputs_A!E16),"default: wage-linked","user")</f>
        <v>default: wage-linked</v>
      </c>
      <c r="T26" s="19" t="str">
        <f>IF(ISBLANK(Inputs_A!F16),"default: AR(1)","user")</f>
        <v>default: AR(1)</v>
      </c>
      <c r="U26" s="19" t="str">
        <f>IF(ISBLANK(Inputs_A!G16),"default: carried forward","user")</f>
        <v>default: carried forward</v>
      </c>
      <c r="V26" s="19" t="str">
        <f>IF(ISBLANK(Inputs_A!H16),"default: trend held","user")</f>
        <v>default: trend held</v>
      </c>
    </row>
    <row r="27" spans="1:22" x14ac:dyDescent="0.3">
      <c r="A27" s="18" t="s">
        <v>87</v>
      </c>
      <c r="B27" s="19" t="str">
        <f>IF(A27&lt;=Settings!$B$7,"Forecast","Beyond horizon")</f>
        <v>Forecast</v>
      </c>
      <c r="C27" s="19">
        <f>IF(ISBLANK(Inputs_A!C17),C26,Inputs_A!C17)</f>
        <v>78.233333333333334</v>
      </c>
      <c r="D27" s="19">
        <f t="shared" si="0"/>
        <v>0</v>
      </c>
      <c r="E27" s="19">
        <f>Aux_Models!$B$6+Aux_Models!$B$7*D27</f>
        <v>1.8686902423038689</v>
      </c>
      <c r="F27" s="19">
        <f>IF(ISBLANK(Inputs_A!D17),E27,100*LN(1+Inputs_A!D17/100))</f>
        <v>1.8686902423038689</v>
      </c>
      <c r="G27" s="19" t="str">
        <f>IF(ISBLANK(Inputs_A!E17),"wage-linked",100*LN(1+Inputs_A!E17/100))</f>
        <v>wage-linked</v>
      </c>
      <c r="H27" s="19">
        <f>IF(ISBLANK(Inputs_A!F17),Aux_Models!$B$8+Aux_Models!$B$9*H26,Inputs_A!F17)</f>
        <v>-0.3387109106293501</v>
      </c>
      <c r="I27" s="19">
        <f t="shared" si="1"/>
        <v>-0.36157609098770072</v>
      </c>
      <c r="J27" s="19">
        <f>IF(ISBLANK(Inputs_A!G17),J26,Inputs_A!G17)</f>
        <v>1.6004714863044449</v>
      </c>
      <c r="K27" s="19">
        <f>IF(ISBLANK(Inputs_A!H17),K19,100*LN(1+Inputs_A!H17/100))</f>
        <v>2.2649099277219435</v>
      </c>
      <c r="L27" s="19">
        <f t="shared" si="2"/>
        <v>-9.9538211594009496E-2</v>
      </c>
      <c r="M27" s="19">
        <f>IF(ISBLANK(Inputs_A!I17),0,Inputs_A!I17)</f>
        <v>0</v>
      </c>
      <c r="N27" s="19">
        <f>IF(ISBLANK(Inputs_A!J17),0,Inputs_A!J17)</f>
        <v>0</v>
      </c>
      <c r="O27" s="19">
        <f>IF(ISBLANK(Inputs_A!K17),0,Inputs_A!K17)</f>
        <v>0</v>
      </c>
      <c r="P27" s="19">
        <f>IF(ISBLANK(Inputs_A!L17),0,Inputs_A!L17)</f>
        <v>0</v>
      </c>
      <c r="Q27" s="19" t="str">
        <f>IF(ISBLANK(Inputs_A!C17),"default: carried forward","user")</f>
        <v>default: carried forward</v>
      </c>
      <c r="R27" s="19" t="str">
        <f>IF(NOT(ISBLANK(Inputs_A!D17)),"user (CPI energy override)",IF(ISBLANK(Inputs_A!C17),"oil bridge, Brent default","oil bridge, Brent user"))</f>
        <v>oil bridge, Brent default</v>
      </c>
      <c r="S27" s="19" t="str">
        <f>IF(ISBLANK(Inputs_A!E17),"default: wage-linked","user")</f>
        <v>default: wage-linked</v>
      </c>
      <c r="T27" s="19" t="str">
        <f>IF(ISBLANK(Inputs_A!F17),"default: AR(1)","user")</f>
        <v>default: AR(1)</v>
      </c>
      <c r="U27" s="19" t="str">
        <f>IF(ISBLANK(Inputs_A!G17),"default: carried forward","user")</f>
        <v>default: carried forward</v>
      </c>
      <c r="V27" s="19" t="str">
        <f>IF(ISBLANK(Inputs_A!H17),"default: trend held","user")</f>
        <v>default: trend held</v>
      </c>
    </row>
    <row r="28" spans="1:22" x14ac:dyDescent="0.3">
      <c r="A28" s="18" t="s">
        <v>88</v>
      </c>
      <c r="B28" s="19" t="str">
        <f>IF(A28&lt;=Settings!$B$7,"Forecast","Beyond horizon")</f>
        <v>Forecast</v>
      </c>
      <c r="C28" s="19">
        <f>IF(ISBLANK(Inputs_A!C18),C27,Inputs_A!C18)</f>
        <v>78.233333333333334</v>
      </c>
      <c r="D28" s="19">
        <f t="shared" si="0"/>
        <v>0</v>
      </c>
      <c r="E28" s="19">
        <f>Aux_Models!$B$6+Aux_Models!$B$7*D28</f>
        <v>1.8686902423038689</v>
      </c>
      <c r="F28" s="19">
        <f>IF(ISBLANK(Inputs_A!D18),E28,100*LN(1+Inputs_A!D18/100))</f>
        <v>1.8686902423038689</v>
      </c>
      <c r="G28" s="19" t="str">
        <f>IF(ISBLANK(Inputs_A!E18),"wage-linked",100*LN(1+Inputs_A!E18/100))</f>
        <v>wage-linked</v>
      </c>
      <c r="H28" s="19">
        <f>IF(ISBLANK(Inputs_A!F18),Aux_Models!$B$8+Aux_Models!$B$9*H27,Inputs_A!F18)</f>
        <v>-0.29932788101366503</v>
      </c>
      <c r="I28" s="19">
        <f t="shared" si="1"/>
        <v>-0.31901939582150757</v>
      </c>
      <c r="J28" s="19">
        <f>IF(ISBLANK(Inputs_A!G18),J27,Inputs_A!G18)</f>
        <v>1.6004714863044449</v>
      </c>
      <c r="K28" s="19">
        <f>IF(ISBLANK(Inputs_A!H18),K20,100*LN(1+Inputs_A!H18/100))</f>
        <v>-5.0579242965686344</v>
      </c>
      <c r="L28" s="19">
        <f t="shared" si="2"/>
        <v>-9.9538211594009551E-2</v>
      </c>
      <c r="M28" s="19">
        <f>IF(ISBLANK(Inputs_A!I18),0,Inputs_A!I18)</f>
        <v>0</v>
      </c>
      <c r="N28" s="19">
        <f>IF(ISBLANK(Inputs_A!J18),0,Inputs_A!J18)</f>
        <v>0</v>
      </c>
      <c r="O28" s="19">
        <f>IF(ISBLANK(Inputs_A!K18),0,Inputs_A!K18)</f>
        <v>0</v>
      </c>
      <c r="P28" s="19">
        <f>IF(ISBLANK(Inputs_A!L18),0,Inputs_A!L18)</f>
        <v>0</v>
      </c>
      <c r="Q28" s="19" t="str">
        <f>IF(ISBLANK(Inputs_A!C18),"default: carried forward","user")</f>
        <v>default: carried forward</v>
      </c>
      <c r="R28" s="19" t="str">
        <f>IF(NOT(ISBLANK(Inputs_A!D18)),"user (CPI energy override)",IF(ISBLANK(Inputs_A!C18),"oil bridge, Brent default","oil bridge, Brent user"))</f>
        <v>oil bridge, Brent default</v>
      </c>
      <c r="S28" s="19" t="str">
        <f>IF(ISBLANK(Inputs_A!E18),"default: wage-linked","user")</f>
        <v>default: wage-linked</v>
      </c>
      <c r="T28" s="19" t="str">
        <f>IF(ISBLANK(Inputs_A!F18),"default: AR(1)","user")</f>
        <v>default: AR(1)</v>
      </c>
      <c r="U28" s="19" t="str">
        <f>IF(ISBLANK(Inputs_A!G18),"default: carried forward","user")</f>
        <v>default: carried forward</v>
      </c>
      <c r="V28" s="19" t="str">
        <f>IF(ISBLANK(Inputs_A!H18),"default: trend held","user")</f>
        <v>default: trend held</v>
      </c>
    </row>
    <row r="29" spans="1:22" x14ac:dyDescent="0.3">
      <c r="A29" s="18" t="s">
        <v>32</v>
      </c>
      <c r="B29" s="19" t="str">
        <f>IF(A29&lt;=Settings!$B$7,"Forecast","Beyond horizon")</f>
        <v>Forecast</v>
      </c>
      <c r="C29" s="19">
        <f>IF(ISBLANK(Inputs_A!C19),C28,Inputs_A!C19)</f>
        <v>78.233333333333334</v>
      </c>
      <c r="D29" s="19">
        <f t="shared" si="0"/>
        <v>0</v>
      </c>
      <c r="E29" s="19">
        <f>Aux_Models!$B$6+Aux_Models!$B$7*D29</f>
        <v>1.8686902423038689</v>
      </c>
      <c r="F29" s="19">
        <f>IF(ISBLANK(Inputs_A!D19),E29,100*LN(1+Inputs_A!D19/100))</f>
        <v>1.8686902423038689</v>
      </c>
      <c r="G29" s="19" t="str">
        <f>IF(ISBLANK(Inputs_A!E19),"wage-linked",100*LN(1+Inputs_A!E19/100))</f>
        <v>wage-linked</v>
      </c>
      <c r="H29" s="19">
        <f>IF(ISBLANK(Inputs_A!F19),Aux_Models!$B$8+Aux_Models!$B$9*H28,Inputs_A!F19)</f>
        <v>-0.26541117890587962</v>
      </c>
      <c r="I29" s="19">
        <f t="shared" si="1"/>
        <v>-0.28236952995977233</v>
      </c>
      <c r="J29" s="19">
        <f>IF(ISBLANK(Inputs_A!G19),J28,Inputs_A!G19)</f>
        <v>1.6004714863044449</v>
      </c>
      <c r="K29" s="19">
        <f>IF(ISBLANK(Inputs_A!H19),K21,100*LN(1+Inputs_A!H19/100))</f>
        <v>-2.9735578961676499</v>
      </c>
      <c r="L29" s="19">
        <f t="shared" si="2"/>
        <v>-9.9538211594009551E-2</v>
      </c>
      <c r="M29" s="19">
        <f>IF(ISBLANK(Inputs_A!I19),0,Inputs_A!I19)</f>
        <v>0</v>
      </c>
      <c r="N29" s="19">
        <f>IF(ISBLANK(Inputs_A!J19),0,Inputs_A!J19)</f>
        <v>0</v>
      </c>
      <c r="O29" s="19">
        <f>IF(ISBLANK(Inputs_A!K19),0,Inputs_A!K19)</f>
        <v>0</v>
      </c>
      <c r="P29" s="19">
        <f>IF(ISBLANK(Inputs_A!L19),0,Inputs_A!L19)</f>
        <v>0</v>
      </c>
      <c r="Q29" s="19" t="str">
        <f>IF(ISBLANK(Inputs_A!C19),"default: carried forward","user")</f>
        <v>default: carried forward</v>
      </c>
      <c r="R29" s="19" t="str">
        <f>IF(NOT(ISBLANK(Inputs_A!D19)),"user (CPI energy override)",IF(ISBLANK(Inputs_A!C19),"oil bridge, Brent default","oil bridge, Brent user"))</f>
        <v>oil bridge, Brent default</v>
      </c>
      <c r="S29" s="19" t="str">
        <f>IF(ISBLANK(Inputs_A!E19),"default: wage-linked","user")</f>
        <v>default: wage-linked</v>
      </c>
      <c r="T29" s="19" t="str">
        <f>IF(ISBLANK(Inputs_A!F19),"default: AR(1)","user")</f>
        <v>default: AR(1)</v>
      </c>
      <c r="U29" s="19" t="str">
        <f>IF(ISBLANK(Inputs_A!G19),"default: carried forward","user")</f>
        <v>default: carried forward</v>
      </c>
      <c r="V29" s="19" t="str">
        <f>IF(ISBLANK(Inputs_A!H19),"default: trend held","user")</f>
        <v>default: trend held</v>
      </c>
    </row>
    <row r="30" spans="1:22" x14ac:dyDescent="0.3">
      <c r="A30" s="18" t="s">
        <v>89</v>
      </c>
      <c r="B30" s="19" t="str">
        <f>IF(A30&lt;=Settings!$B$7,"Forecast","Beyond horizon")</f>
        <v>Beyond horizon</v>
      </c>
      <c r="C30" s="19">
        <f>IF(ISBLANK(Inputs_A!C20),C29,Inputs_A!C20)</f>
        <v>78.233333333333334</v>
      </c>
      <c r="D30" s="19">
        <f t="shared" si="0"/>
        <v>0</v>
      </c>
      <c r="E30" s="19">
        <f>Aux_Models!$B$6+Aux_Models!$B$7*D30</f>
        <v>1.8686902423038689</v>
      </c>
      <c r="F30" s="19">
        <f>IF(ISBLANK(Inputs_A!D20),E30,100*LN(1+Inputs_A!D20/100))</f>
        <v>1.8686902423038689</v>
      </c>
      <c r="G30" s="19" t="str">
        <f>IF(ISBLANK(Inputs_A!E20),"wage-linked",100*LN(1+Inputs_A!E20/100))</f>
        <v>wage-linked</v>
      </c>
      <c r="H30" s="19">
        <f>IF(ISBLANK(Inputs_A!F20),Aux_Models!$B$8+Aux_Models!$B$9*H29,Inputs_A!F20)</f>
        <v>-0.23620208318384531</v>
      </c>
      <c r="I30" s="19">
        <f t="shared" si="1"/>
        <v>-0.25080663104486245</v>
      </c>
      <c r="J30" s="19">
        <f>IF(ISBLANK(Inputs_A!G20),J29,Inputs_A!G20)</f>
        <v>1.6004714863044449</v>
      </c>
      <c r="K30" s="19">
        <f>IF(ISBLANK(Inputs_A!H20),K22,100*LN(1+Inputs_A!H20/100))</f>
        <v>0.23036525412416628</v>
      </c>
      <c r="L30" s="19">
        <f t="shared" si="2"/>
        <v>-9.9538211594009524E-2</v>
      </c>
      <c r="M30" s="19">
        <f>IF(ISBLANK(Inputs_A!I20),0,Inputs_A!I20)</f>
        <v>0</v>
      </c>
      <c r="N30" s="19">
        <f>IF(ISBLANK(Inputs_A!J20),0,Inputs_A!J20)</f>
        <v>0</v>
      </c>
      <c r="O30" s="19">
        <f>IF(ISBLANK(Inputs_A!K20),0,Inputs_A!K20)</f>
        <v>0</v>
      </c>
      <c r="P30" s="19">
        <f>IF(ISBLANK(Inputs_A!L20),0,Inputs_A!L20)</f>
        <v>0</v>
      </c>
      <c r="Q30" s="19" t="str">
        <f>IF(ISBLANK(Inputs_A!C20),"default: carried forward","user")</f>
        <v>default: carried forward</v>
      </c>
      <c r="R30" s="19" t="str">
        <f>IF(NOT(ISBLANK(Inputs_A!D20)),"user (CPI energy override)",IF(ISBLANK(Inputs_A!C20),"oil bridge, Brent default","oil bridge, Brent user"))</f>
        <v>oil bridge, Brent default</v>
      </c>
      <c r="S30" s="19" t="str">
        <f>IF(ISBLANK(Inputs_A!E20),"default: wage-linked","user")</f>
        <v>default: wage-linked</v>
      </c>
      <c r="T30" s="19" t="str">
        <f>IF(ISBLANK(Inputs_A!F20),"default: AR(1)","user")</f>
        <v>default: AR(1)</v>
      </c>
      <c r="U30" s="19" t="str">
        <f>IF(ISBLANK(Inputs_A!G20),"default: carried forward","user")</f>
        <v>default: carried forward</v>
      </c>
      <c r="V30" s="19" t="str">
        <f>IF(ISBLANK(Inputs_A!H20),"default: trend held","user")</f>
        <v>default: trend held</v>
      </c>
    </row>
    <row r="31" spans="1:22" x14ac:dyDescent="0.3">
      <c r="A31" s="18" t="s">
        <v>90</v>
      </c>
      <c r="B31" s="19" t="str">
        <f>IF(A31&lt;=Settings!$B$7,"Forecast","Beyond horizon")</f>
        <v>Beyond horizon</v>
      </c>
      <c r="C31" s="19">
        <f>IF(ISBLANK(Inputs_A!C21),C30,Inputs_A!C21)</f>
        <v>78.233333333333334</v>
      </c>
      <c r="D31" s="19">
        <f t="shared" si="0"/>
        <v>0</v>
      </c>
      <c r="E31" s="19">
        <f>Aux_Models!$B$6+Aux_Models!$B$7*D31</f>
        <v>1.8686902423038689</v>
      </c>
      <c r="F31" s="19">
        <f>IF(ISBLANK(Inputs_A!D21),E31,100*LN(1+Inputs_A!D21/100))</f>
        <v>1.8686902423038689</v>
      </c>
      <c r="G31" s="19" t="str">
        <f>IF(ISBLANK(Inputs_A!E21),"wage-linked",100*LN(1+Inputs_A!E21/100))</f>
        <v>wage-linked</v>
      </c>
      <c r="H31" s="19">
        <f>IF(ISBLANK(Inputs_A!F21),Aux_Models!$B$8+Aux_Models!$B$9*H30,Inputs_A!F21)</f>
        <v>-0.21104718250430307</v>
      </c>
      <c r="I31" s="19">
        <f t="shared" si="1"/>
        <v>-0.22362463284407419</v>
      </c>
      <c r="J31" s="19">
        <f>IF(ISBLANK(Inputs_A!G21),J30,Inputs_A!G21)</f>
        <v>1.6004714863044449</v>
      </c>
      <c r="K31" s="19">
        <f>IF(ISBLANK(Inputs_A!H21),K23,100*LN(1+Inputs_A!H21/100))</f>
        <v>2.2745766854742397</v>
      </c>
      <c r="L31" s="19">
        <f t="shared" si="2"/>
        <v>-9.953821159400944E-2</v>
      </c>
      <c r="M31" s="19">
        <f>IF(ISBLANK(Inputs_A!I21),0,Inputs_A!I21)</f>
        <v>0</v>
      </c>
      <c r="N31" s="19">
        <f>IF(ISBLANK(Inputs_A!J21),0,Inputs_A!J21)</f>
        <v>0</v>
      </c>
      <c r="O31" s="19">
        <f>IF(ISBLANK(Inputs_A!K21),0,Inputs_A!K21)</f>
        <v>0</v>
      </c>
      <c r="P31" s="19">
        <f>IF(ISBLANK(Inputs_A!L21),0,Inputs_A!L21)</f>
        <v>0</v>
      </c>
      <c r="Q31" s="19" t="str">
        <f>IF(ISBLANK(Inputs_A!C21),"default: carried forward","user")</f>
        <v>default: carried forward</v>
      </c>
      <c r="R31" s="19" t="str">
        <f>IF(NOT(ISBLANK(Inputs_A!D21)),"user (CPI energy override)",IF(ISBLANK(Inputs_A!C21),"oil bridge, Brent default","oil bridge, Brent user"))</f>
        <v>oil bridge, Brent default</v>
      </c>
      <c r="S31" s="19" t="str">
        <f>IF(ISBLANK(Inputs_A!E21),"default: wage-linked","user")</f>
        <v>default: wage-linked</v>
      </c>
      <c r="T31" s="19" t="str">
        <f>IF(ISBLANK(Inputs_A!F21),"default: AR(1)","user")</f>
        <v>default: AR(1)</v>
      </c>
      <c r="U31" s="19" t="str">
        <f>IF(ISBLANK(Inputs_A!G21),"default: carried forward","user")</f>
        <v>default: carried forward</v>
      </c>
      <c r="V31" s="19" t="str">
        <f>IF(ISBLANK(Inputs_A!H21),"default: trend held","user")</f>
        <v>default: trend held</v>
      </c>
    </row>
    <row r="32" spans="1:22" x14ac:dyDescent="0.3">
      <c r="A32" s="18" t="s">
        <v>91</v>
      </c>
      <c r="B32" s="19" t="str">
        <f>IF(A32&lt;=Settings!$B$7,"Forecast","Beyond horizon")</f>
        <v>Beyond horizon</v>
      </c>
      <c r="C32" s="19">
        <f>IF(ISBLANK(Inputs_A!C22),C31,Inputs_A!C22)</f>
        <v>78.233333333333334</v>
      </c>
      <c r="D32" s="19">
        <f t="shared" si="0"/>
        <v>0</v>
      </c>
      <c r="E32" s="19">
        <f>Aux_Models!$B$6+Aux_Models!$B$7*D32</f>
        <v>1.8686902423038689</v>
      </c>
      <c r="F32" s="19">
        <f>IF(ISBLANK(Inputs_A!D22),E32,100*LN(1+Inputs_A!D22/100))</f>
        <v>1.8686902423038689</v>
      </c>
      <c r="G32" s="19" t="str">
        <f>IF(ISBLANK(Inputs_A!E22),"wage-linked",100*LN(1+Inputs_A!E22/100))</f>
        <v>wage-linked</v>
      </c>
      <c r="H32" s="19">
        <f>IF(ISBLANK(Inputs_A!F22),Aux_Models!$B$8+Aux_Models!$B$9*H31,Inputs_A!F22)</f>
        <v>-0.18938375840451846</v>
      </c>
      <c r="I32" s="19">
        <f t="shared" si="1"/>
        <v>-0.20021547045441077</v>
      </c>
      <c r="J32" s="19">
        <f>IF(ISBLANK(Inputs_A!G22),J31,Inputs_A!G22)</f>
        <v>1.6004714863044449</v>
      </c>
      <c r="K32" s="19">
        <f>IF(ISBLANK(Inputs_A!H22),K24,100*LN(1+Inputs_A!H22/100))</f>
        <v>0.91129858563980626</v>
      </c>
      <c r="L32" s="19">
        <f t="shared" si="2"/>
        <v>-9.9538211594009565E-2</v>
      </c>
      <c r="M32" s="19">
        <f>IF(ISBLANK(Inputs_A!I22),0,Inputs_A!I22)</f>
        <v>0</v>
      </c>
      <c r="N32" s="19">
        <f>IF(ISBLANK(Inputs_A!J22),0,Inputs_A!J22)</f>
        <v>0</v>
      </c>
      <c r="O32" s="19">
        <f>IF(ISBLANK(Inputs_A!K22),0,Inputs_A!K22)</f>
        <v>0</v>
      </c>
      <c r="P32" s="19">
        <f>IF(ISBLANK(Inputs_A!L22),0,Inputs_A!L22)</f>
        <v>0</v>
      </c>
      <c r="Q32" s="19" t="str">
        <f>IF(ISBLANK(Inputs_A!C22),"default: carried forward","user")</f>
        <v>default: carried forward</v>
      </c>
      <c r="R32" s="19" t="str">
        <f>IF(NOT(ISBLANK(Inputs_A!D22)),"user (CPI energy override)",IF(ISBLANK(Inputs_A!C22),"oil bridge, Brent default","oil bridge, Brent user"))</f>
        <v>oil bridge, Brent default</v>
      </c>
      <c r="S32" s="19" t="str">
        <f>IF(ISBLANK(Inputs_A!E22),"default: wage-linked","user")</f>
        <v>default: wage-linked</v>
      </c>
      <c r="T32" s="19" t="str">
        <f>IF(ISBLANK(Inputs_A!F22),"default: AR(1)","user")</f>
        <v>default: AR(1)</v>
      </c>
      <c r="U32" s="19" t="str">
        <f>IF(ISBLANK(Inputs_A!G22),"default: carried forward","user")</f>
        <v>default: carried forward</v>
      </c>
      <c r="V32" s="19" t="str">
        <f>IF(ISBLANK(Inputs_A!H22),"default: trend held","user")</f>
        <v>default: trend held</v>
      </c>
    </row>
    <row r="33" spans="1:22" x14ac:dyDescent="0.3">
      <c r="A33" s="18" t="s">
        <v>92</v>
      </c>
      <c r="B33" s="19" t="str">
        <f>IF(A33&lt;=Settings!$B$7,"Forecast","Beyond horizon")</f>
        <v>Beyond horizon</v>
      </c>
      <c r="C33" s="19">
        <f>IF(ISBLANK(Inputs_A!C23),C32,Inputs_A!C23)</f>
        <v>78.233333333333334</v>
      </c>
      <c r="D33" s="19">
        <f t="shared" si="0"/>
        <v>0</v>
      </c>
      <c r="E33" s="19">
        <f>Aux_Models!$B$6+Aux_Models!$B$7*D33</f>
        <v>1.8686902423038689</v>
      </c>
      <c r="F33" s="19">
        <f>IF(ISBLANK(Inputs_A!D23),E33,100*LN(1+Inputs_A!D23/100))</f>
        <v>1.8686902423038689</v>
      </c>
      <c r="G33" s="19" t="str">
        <f>IF(ISBLANK(Inputs_A!E23),"wage-linked",100*LN(1+Inputs_A!E23/100))</f>
        <v>wage-linked</v>
      </c>
      <c r="H33" s="19">
        <f>IF(ISBLANK(Inputs_A!F23),Aux_Models!$B$8+Aux_Models!$B$9*H32,Inputs_A!F23)</f>
        <v>-0.17072719721567622</v>
      </c>
      <c r="I33" s="19">
        <f t="shared" si="1"/>
        <v>-0.18005547781009734</v>
      </c>
      <c r="J33" s="19">
        <f>IF(ISBLANK(Inputs_A!G23),J32,Inputs_A!G23)</f>
        <v>1.6004714863044449</v>
      </c>
      <c r="K33" s="19">
        <f>IF(ISBLANK(Inputs_A!H23),K25,100*LN(1+Inputs_A!H23/100))</f>
        <v>3.9909759049979314</v>
      </c>
      <c r="L33" s="19">
        <f t="shared" si="2"/>
        <v>-9.9538211594009551E-2</v>
      </c>
      <c r="M33" s="19">
        <f>IF(ISBLANK(Inputs_A!I23),0,Inputs_A!I23)</f>
        <v>0</v>
      </c>
      <c r="N33" s="19">
        <f>IF(ISBLANK(Inputs_A!J23),0,Inputs_A!J23)</f>
        <v>0</v>
      </c>
      <c r="O33" s="19">
        <f>IF(ISBLANK(Inputs_A!K23),0,Inputs_A!K23)</f>
        <v>0</v>
      </c>
      <c r="P33" s="19">
        <f>IF(ISBLANK(Inputs_A!L23),0,Inputs_A!L23)</f>
        <v>0</v>
      </c>
      <c r="Q33" s="19" t="str">
        <f>IF(ISBLANK(Inputs_A!C23),"default: carried forward","user")</f>
        <v>default: carried forward</v>
      </c>
      <c r="R33" s="19" t="str">
        <f>IF(NOT(ISBLANK(Inputs_A!D23)),"user (CPI energy override)",IF(ISBLANK(Inputs_A!C23),"oil bridge, Brent default","oil bridge, Brent user"))</f>
        <v>oil bridge, Brent default</v>
      </c>
      <c r="S33" s="19" t="str">
        <f>IF(ISBLANK(Inputs_A!E23),"default: wage-linked","user")</f>
        <v>default: wage-linked</v>
      </c>
      <c r="T33" s="19" t="str">
        <f>IF(ISBLANK(Inputs_A!F23),"default: AR(1)","user")</f>
        <v>default: AR(1)</v>
      </c>
      <c r="U33" s="19" t="str">
        <f>IF(ISBLANK(Inputs_A!G23),"default: carried forward","user")</f>
        <v>default: carried forward</v>
      </c>
      <c r="V33" s="19" t="str">
        <f>IF(ISBLANK(Inputs_A!H23),"default: trend held","user")</f>
        <v>default: trend held</v>
      </c>
    </row>
    <row r="34" spans="1:22" x14ac:dyDescent="0.3">
      <c r="A34" s="18" t="s">
        <v>93</v>
      </c>
      <c r="B34" s="19" t="str">
        <f>IF(A34&lt;=Settings!$B$7,"Forecast","Beyond horizon")</f>
        <v>Beyond horizon</v>
      </c>
      <c r="C34" s="19">
        <f>IF(ISBLANK(Inputs_A!C24),C33,Inputs_A!C24)</f>
        <v>78.233333333333334</v>
      </c>
      <c r="D34" s="19">
        <f t="shared" si="0"/>
        <v>0</v>
      </c>
      <c r="E34" s="19">
        <f>Aux_Models!$B$6+Aux_Models!$B$7*D34</f>
        <v>1.8686902423038689</v>
      </c>
      <c r="F34" s="19">
        <f>IF(ISBLANK(Inputs_A!D24),E34,100*LN(1+Inputs_A!D24/100))</f>
        <v>1.8686902423038689</v>
      </c>
      <c r="G34" s="19" t="str">
        <f>IF(ISBLANK(Inputs_A!E24),"wage-linked",100*LN(1+Inputs_A!E24/100))</f>
        <v>wage-linked</v>
      </c>
      <c r="H34" s="19">
        <f>IF(ISBLANK(Inputs_A!F24),Aux_Models!$B$8+Aux_Models!$B$9*H33,Inputs_A!F24)</f>
        <v>-0.1546601491908686</v>
      </c>
      <c r="I34" s="19">
        <f t="shared" si="1"/>
        <v>-0.16269367320327241</v>
      </c>
      <c r="J34" s="19">
        <f>IF(ISBLANK(Inputs_A!G24),J33,Inputs_A!G24)</f>
        <v>1.6004714863044449</v>
      </c>
      <c r="K34" s="19">
        <f>IF(ISBLANK(Inputs_A!H24),K26,100*LN(1+Inputs_A!H24/100))</f>
        <v>-2.4369498579738789</v>
      </c>
      <c r="L34" s="19">
        <f t="shared" si="2"/>
        <v>-9.9538211594009551E-2</v>
      </c>
      <c r="M34" s="19">
        <f>IF(ISBLANK(Inputs_A!I24),0,Inputs_A!I24)</f>
        <v>0</v>
      </c>
      <c r="N34" s="19">
        <f>IF(ISBLANK(Inputs_A!J24),0,Inputs_A!J24)</f>
        <v>0</v>
      </c>
      <c r="O34" s="19">
        <f>IF(ISBLANK(Inputs_A!K24),0,Inputs_A!K24)</f>
        <v>0</v>
      </c>
      <c r="P34" s="19">
        <f>IF(ISBLANK(Inputs_A!L24),0,Inputs_A!L24)</f>
        <v>0</v>
      </c>
      <c r="Q34" s="19" t="str">
        <f>IF(ISBLANK(Inputs_A!C24),"default: carried forward","user")</f>
        <v>default: carried forward</v>
      </c>
      <c r="R34" s="19" t="str">
        <f>IF(NOT(ISBLANK(Inputs_A!D24)),"user (CPI energy override)",IF(ISBLANK(Inputs_A!C24),"oil bridge, Brent default","oil bridge, Brent user"))</f>
        <v>oil bridge, Brent default</v>
      </c>
      <c r="S34" s="19" t="str">
        <f>IF(ISBLANK(Inputs_A!E24),"default: wage-linked","user")</f>
        <v>default: wage-linked</v>
      </c>
      <c r="T34" s="19" t="str">
        <f>IF(ISBLANK(Inputs_A!F24),"default: AR(1)","user")</f>
        <v>default: AR(1)</v>
      </c>
      <c r="U34" s="19" t="str">
        <f>IF(ISBLANK(Inputs_A!G24),"default: carried forward","user")</f>
        <v>default: carried forward</v>
      </c>
      <c r="V34" s="19" t="str">
        <f>IF(ISBLANK(Inputs_A!H24),"default: trend held","user")</f>
        <v>default: trend held</v>
      </c>
    </row>
    <row r="35" spans="1:22" x14ac:dyDescent="0.3">
      <c r="A35" s="18" t="s">
        <v>94</v>
      </c>
      <c r="B35" s="19" t="str">
        <f>IF(A35&lt;=Settings!$B$7,"Forecast","Beyond horizon")</f>
        <v>Beyond horizon</v>
      </c>
      <c r="C35" s="19">
        <f>IF(ISBLANK(Inputs_A!C25),C34,Inputs_A!C25)</f>
        <v>78.233333333333334</v>
      </c>
      <c r="D35" s="19">
        <f t="shared" si="0"/>
        <v>0</v>
      </c>
      <c r="E35" s="19">
        <f>Aux_Models!$B$6+Aux_Models!$B$7*D35</f>
        <v>1.8686902423038689</v>
      </c>
      <c r="F35" s="19">
        <f>IF(ISBLANK(Inputs_A!D25),E35,100*LN(1+Inputs_A!D25/100))</f>
        <v>1.8686902423038689</v>
      </c>
      <c r="G35" s="19" t="str">
        <f>IF(ISBLANK(Inputs_A!E25),"wage-linked",100*LN(1+Inputs_A!E25/100))</f>
        <v>wage-linked</v>
      </c>
      <c r="H35" s="19">
        <f>IF(ISBLANK(Inputs_A!F25),Aux_Models!$B$8+Aux_Models!$B$9*H34,Inputs_A!F25)</f>
        <v>-0.14082319233593305</v>
      </c>
      <c r="I35" s="19">
        <f t="shared" si="1"/>
        <v>-0.14774167076340083</v>
      </c>
      <c r="J35" s="19">
        <f>IF(ISBLANK(Inputs_A!G25),J34,Inputs_A!G25)</f>
        <v>1.6004714863044449</v>
      </c>
      <c r="K35" s="19">
        <f>IF(ISBLANK(Inputs_A!H25),K27,100*LN(1+Inputs_A!H25/100))</f>
        <v>2.2649099277219435</v>
      </c>
      <c r="L35" s="19">
        <f t="shared" si="2"/>
        <v>-9.9538211594009496E-2</v>
      </c>
      <c r="M35" s="19">
        <f>IF(ISBLANK(Inputs_A!I25),0,Inputs_A!I25)</f>
        <v>0</v>
      </c>
      <c r="N35" s="19">
        <f>IF(ISBLANK(Inputs_A!J25),0,Inputs_A!J25)</f>
        <v>0</v>
      </c>
      <c r="O35" s="19">
        <f>IF(ISBLANK(Inputs_A!K25),0,Inputs_A!K25)</f>
        <v>0</v>
      </c>
      <c r="P35" s="19">
        <f>IF(ISBLANK(Inputs_A!L25),0,Inputs_A!L25)</f>
        <v>0</v>
      </c>
      <c r="Q35" s="19" t="str">
        <f>IF(ISBLANK(Inputs_A!C25),"default: carried forward","user")</f>
        <v>default: carried forward</v>
      </c>
      <c r="R35" s="19" t="str">
        <f>IF(NOT(ISBLANK(Inputs_A!D25)),"user (CPI energy override)",IF(ISBLANK(Inputs_A!C25),"oil bridge, Brent default","oil bridge, Brent user"))</f>
        <v>oil bridge, Brent default</v>
      </c>
      <c r="S35" s="19" t="str">
        <f>IF(ISBLANK(Inputs_A!E25),"default: wage-linked","user")</f>
        <v>default: wage-linked</v>
      </c>
      <c r="T35" s="19" t="str">
        <f>IF(ISBLANK(Inputs_A!F25),"default: AR(1)","user")</f>
        <v>default: AR(1)</v>
      </c>
      <c r="U35" s="19" t="str">
        <f>IF(ISBLANK(Inputs_A!G25),"default: carried forward","user")</f>
        <v>default: carried forward</v>
      </c>
      <c r="V35" s="19" t="str">
        <f>IF(ISBLANK(Inputs_A!H25),"default: trend held","user")</f>
        <v>default: trend held</v>
      </c>
    </row>
    <row r="36" spans="1:22" x14ac:dyDescent="0.3">
      <c r="A36" s="18" t="s">
        <v>95</v>
      </c>
      <c r="B36" s="19" t="str">
        <f>IF(A36&lt;=Settings!$B$7,"Forecast","Beyond horizon")</f>
        <v>Beyond horizon</v>
      </c>
      <c r="C36" s="19">
        <f>IF(ISBLANK(Inputs_A!C26),C35,Inputs_A!C26)</f>
        <v>78.233333333333334</v>
      </c>
      <c r="D36" s="19">
        <f t="shared" si="0"/>
        <v>0</v>
      </c>
      <c r="E36" s="19">
        <f>Aux_Models!$B$6+Aux_Models!$B$7*D36</f>
        <v>1.8686902423038689</v>
      </c>
      <c r="F36" s="19">
        <f>IF(ISBLANK(Inputs_A!D26),E36,100*LN(1+Inputs_A!D26/100))</f>
        <v>1.8686902423038689</v>
      </c>
      <c r="G36" s="19" t="str">
        <f>IF(ISBLANK(Inputs_A!E26),"wage-linked",100*LN(1+Inputs_A!E26/100))</f>
        <v>wage-linked</v>
      </c>
      <c r="H36" s="19">
        <f>IF(ISBLANK(Inputs_A!F26),Aux_Models!$B$8+Aux_Models!$B$9*H35,Inputs_A!F26)</f>
        <v>-0.12890679209179798</v>
      </c>
      <c r="I36" s="19">
        <f t="shared" si="1"/>
        <v>-0.1348649922138655</v>
      </c>
      <c r="J36" s="19">
        <f>IF(ISBLANK(Inputs_A!G26),J35,Inputs_A!G26)</f>
        <v>1.6004714863044449</v>
      </c>
      <c r="K36" s="19">
        <f>IF(ISBLANK(Inputs_A!H26),K28,100*LN(1+Inputs_A!H26/100))</f>
        <v>-5.0579242965686344</v>
      </c>
      <c r="L36" s="19">
        <f t="shared" si="2"/>
        <v>-9.9538211594009551E-2</v>
      </c>
      <c r="M36" s="19">
        <f>IF(ISBLANK(Inputs_A!I26),0,Inputs_A!I26)</f>
        <v>0</v>
      </c>
      <c r="N36" s="19">
        <f>IF(ISBLANK(Inputs_A!J26),0,Inputs_A!J26)</f>
        <v>0</v>
      </c>
      <c r="O36" s="19">
        <f>IF(ISBLANK(Inputs_A!K26),0,Inputs_A!K26)</f>
        <v>0</v>
      </c>
      <c r="P36" s="19">
        <f>IF(ISBLANK(Inputs_A!L26),0,Inputs_A!L26)</f>
        <v>0</v>
      </c>
      <c r="Q36" s="19" t="str">
        <f>IF(ISBLANK(Inputs_A!C26),"default: carried forward","user")</f>
        <v>default: carried forward</v>
      </c>
      <c r="R36" s="19" t="str">
        <f>IF(NOT(ISBLANK(Inputs_A!D26)),"user (CPI energy override)",IF(ISBLANK(Inputs_A!C26),"oil bridge, Brent default","oil bridge, Brent user"))</f>
        <v>oil bridge, Brent default</v>
      </c>
      <c r="S36" s="19" t="str">
        <f>IF(ISBLANK(Inputs_A!E26),"default: wage-linked","user")</f>
        <v>default: wage-linked</v>
      </c>
      <c r="T36" s="19" t="str">
        <f>IF(ISBLANK(Inputs_A!F26),"default: AR(1)","user")</f>
        <v>default: AR(1)</v>
      </c>
      <c r="U36" s="19" t="str">
        <f>IF(ISBLANK(Inputs_A!G26),"default: carried forward","user")</f>
        <v>default: carried forward</v>
      </c>
      <c r="V36" s="19" t="str">
        <f>IF(ISBLANK(Inputs_A!H26),"default: trend held","user")</f>
        <v>default: trend held</v>
      </c>
    </row>
    <row r="37" spans="1:22" x14ac:dyDescent="0.3">
      <c r="A37" s="18" t="s">
        <v>96</v>
      </c>
      <c r="B37" s="19" t="str">
        <f>IF(A37&lt;=Settings!$B$7,"Forecast","Beyond horizon")</f>
        <v>Beyond horizon</v>
      </c>
      <c r="C37" s="19">
        <f>IF(ISBLANK(Inputs_A!C27),C36,Inputs_A!C27)</f>
        <v>78.233333333333334</v>
      </c>
      <c r="D37" s="19">
        <f t="shared" si="0"/>
        <v>0</v>
      </c>
      <c r="E37" s="19">
        <f>Aux_Models!$B$6+Aux_Models!$B$7*D37</f>
        <v>1.8686902423038689</v>
      </c>
      <c r="F37" s="19">
        <f>IF(ISBLANK(Inputs_A!D27),E37,100*LN(1+Inputs_A!D27/100))</f>
        <v>1.8686902423038689</v>
      </c>
      <c r="G37" s="19" t="str">
        <f>IF(ISBLANK(Inputs_A!E27),"wage-linked",100*LN(1+Inputs_A!E27/100))</f>
        <v>wage-linked</v>
      </c>
      <c r="H37" s="19">
        <f>IF(ISBLANK(Inputs_A!F27),Aux_Models!$B$8+Aux_Models!$B$9*H36,Inputs_A!F27)</f>
        <v>-0.1186443770053643</v>
      </c>
      <c r="I37" s="19">
        <f t="shared" si="1"/>
        <v>-0.12377558454858115</v>
      </c>
      <c r="J37" s="19">
        <f>IF(ISBLANK(Inputs_A!G27),J36,Inputs_A!G27)</f>
        <v>1.6004714863044449</v>
      </c>
      <c r="K37" s="19">
        <f>IF(ISBLANK(Inputs_A!H27),K29,100*LN(1+Inputs_A!H27/100))</f>
        <v>-2.9735578961676499</v>
      </c>
      <c r="L37" s="19">
        <f t="shared" si="2"/>
        <v>-9.9538211594009551E-2</v>
      </c>
      <c r="M37" s="19">
        <f>IF(ISBLANK(Inputs_A!I27),0,Inputs_A!I27)</f>
        <v>0</v>
      </c>
      <c r="N37" s="19">
        <f>IF(ISBLANK(Inputs_A!J27),0,Inputs_A!J27)</f>
        <v>0</v>
      </c>
      <c r="O37" s="19">
        <f>IF(ISBLANK(Inputs_A!K27),0,Inputs_A!K27)</f>
        <v>0</v>
      </c>
      <c r="P37" s="19">
        <f>IF(ISBLANK(Inputs_A!L27),0,Inputs_A!L27)</f>
        <v>0</v>
      </c>
      <c r="Q37" s="19" t="str">
        <f>IF(ISBLANK(Inputs_A!C27),"default: carried forward","user")</f>
        <v>default: carried forward</v>
      </c>
      <c r="R37" s="19" t="str">
        <f>IF(NOT(ISBLANK(Inputs_A!D27)),"user (CPI energy override)",IF(ISBLANK(Inputs_A!C27),"oil bridge, Brent default","oil bridge, Brent user"))</f>
        <v>oil bridge, Brent default</v>
      </c>
      <c r="S37" s="19" t="str">
        <f>IF(ISBLANK(Inputs_A!E27),"default: wage-linked","user")</f>
        <v>default: wage-linked</v>
      </c>
      <c r="T37" s="19" t="str">
        <f>IF(ISBLANK(Inputs_A!F27),"default: AR(1)","user")</f>
        <v>default: AR(1)</v>
      </c>
      <c r="U37" s="19" t="str">
        <f>IF(ISBLANK(Inputs_A!G27),"default: carried forward","user")</f>
        <v>default: carried forward</v>
      </c>
      <c r="V37" s="19" t="str">
        <f>IF(ISBLANK(Inputs_A!H27),"default: trend held","user")</f>
        <v>default: trend held</v>
      </c>
    </row>
    <row r="38" spans="1:22" x14ac:dyDescent="0.3">
      <c r="A38" s="18" t="s">
        <v>97</v>
      </c>
      <c r="B38" s="19" t="str">
        <f>IF(A38&lt;=Settings!$B$7,"Forecast","Beyond horizon")</f>
        <v>Beyond horizon</v>
      </c>
      <c r="C38" s="19">
        <f>IF(ISBLANK(Inputs_A!C28),C37,Inputs_A!C28)</f>
        <v>78.233333333333334</v>
      </c>
      <c r="D38" s="19">
        <f t="shared" si="0"/>
        <v>0</v>
      </c>
      <c r="E38" s="19">
        <f>Aux_Models!$B$6+Aux_Models!$B$7*D38</f>
        <v>1.8686902423038689</v>
      </c>
      <c r="F38" s="19">
        <f>IF(ISBLANK(Inputs_A!D28),E38,100*LN(1+Inputs_A!D28/100))</f>
        <v>1.8686902423038689</v>
      </c>
      <c r="G38" s="19" t="str">
        <f>IF(ISBLANK(Inputs_A!E28),"wage-linked",100*LN(1+Inputs_A!E28/100))</f>
        <v>wage-linked</v>
      </c>
      <c r="H38" s="19">
        <f>IF(ISBLANK(Inputs_A!F28),Aux_Models!$B$8+Aux_Models!$B$9*H37,Inputs_A!F28)</f>
        <v>-0.10980637549076296</v>
      </c>
      <c r="I38" s="19">
        <f t="shared" si="1"/>
        <v>-0.11422537624806363</v>
      </c>
      <c r="J38" s="19">
        <f>IF(ISBLANK(Inputs_A!G28),J37,Inputs_A!G28)</f>
        <v>1.6004714863044449</v>
      </c>
      <c r="K38" s="19">
        <f>IF(ISBLANK(Inputs_A!H28),K30,100*LN(1+Inputs_A!H28/100))</f>
        <v>0.23036525412416628</v>
      </c>
      <c r="L38" s="19">
        <f t="shared" si="2"/>
        <v>-9.9538211594009524E-2</v>
      </c>
      <c r="M38" s="19">
        <f>IF(ISBLANK(Inputs_A!I28),0,Inputs_A!I28)</f>
        <v>0</v>
      </c>
      <c r="N38" s="19">
        <f>IF(ISBLANK(Inputs_A!J28),0,Inputs_A!J28)</f>
        <v>0</v>
      </c>
      <c r="O38" s="19">
        <f>IF(ISBLANK(Inputs_A!K28),0,Inputs_A!K28)</f>
        <v>0</v>
      </c>
      <c r="P38" s="19">
        <f>IF(ISBLANK(Inputs_A!L28),0,Inputs_A!L28)</f>
        <v>0</v>
      </c>
      <c r="Q38" s="19" t="str">
        <f>IF(ISBLANK(Inputs_A!C28),"default: carried forward","user")</f>
        <v>default: carried forward</v>
      </c>
      <c r="R38" s="19" t="str">
        <f>IF(NOT(ISBLANK(Inputs_A!D28)),"user (CPI energy override)",IF(ISBLANK(Inputs_A!C28),"oil bridge, Brent default","oil bridge, Brent user"))</f>
        <v>oil bridge, Brent default</v>
      </c>
      <c r="S38" s="19" t="str">
        <f>IF(ISBLANK(Inputs_A!E28),"default: wage-linked","user")</f>
        <v>default: wage-linked</v>
      </c>
      <c r="T38" s="19" t="str">
        <f>IF(ISBLANK(Inputs_A!F28),"default: AR(1)","user")</f>
        <v>default: AR(1)</v>
      </c>
      <c r="U38" s="19" t="str">
        <f>IF(ISBLANK(Inputs_A!G28),"default: carried forward","user")</f>
        <v>default: carried forward</v>
      </c>
      <c r="V38" s="19" t="str">
        <f>IF(ISBLANK(Inputs_A!H28),"default: trend held","user")</f>
        <v>default: trend held</v>
      </c>
    </row>
    <row r="39" spans="1:22" x14ac:dyDescent="0.3">
      <c r="A39" s="18" t="s">
        <v>98</v>
      </c>
      <c r="B39" s="19" t="str">
        <f>IF(A39&lt;=Settings!$B$7,"Forecast","Beyond horizon")</f>
        <v>Beyond horizon</v>
      </c>
      <c r="C39" s="19">
        <f>IF(ISBLANK(Inputs_A!C29),C38,Inputs_A!C29)</f>
        <v>78.233333333333334</v>
      </c>
      <c r="D39" s="19">
        <f t="shared" si="0"/>
        <v>0</v>
      </c>
      <c r="E39" s="19">
        <f>Aux_Models!$B$6+Aux_Models!$B$7*D39</f>
        <v>1.8686902423038689</v>
      </c>
      <c r="F39" s="19">
        <f>IF(ISBLANK(Inputs_A!D29),E39,100*LN(1+Inputs_A!D29/100))</f>
        <v>1.8686902423038689</v>
      </c>
      <c r="G39" s="19" t="str">
        <f>IF(ISBLANK(Inputs_A!E29),"wage-linked",100*LN(1+Inputs_A!E29/100))</f>
        <v>wage-linked</v>
      </c>
      <c r="H39" s="19">
        <f>IF(ISBLANK(Inputs_A!F29),Aux_Models!$B$8+Aux_Models!$B$9*H38,Inputs_A!F29)</f>
        <v>-0.10219508028254702</v>
      </c>
      <c r="I39" s="19">
        <f t="shared" si="1"/>
        <v>-0.10600072788665499</v>
      </c>
      <c r="J39" s="19">
        <f>IF(ISBLANK(Inputs_A!G29),J38,Inputs_A!G29)</f>
        <v>1.6004714863044449</v>
      </c>
      <c r="K39" s="19">
        <f>IF(ISBLANK(Inputs_A!H29),K31,100*LN(1+Inputs_A!H29/100))</f>
        <v>2.2745766854742397</v>
      </c>
      <c r="L39" s="19">
        <f t="shared" si="2"/>
        <v>-9.953821159400944E-2</v>
      </c>
      <c r="M39" s="19">
        <f>IF(ISBLANK(Inputs_A!I29),0,Inputs_A!I29)</f>
        <v>0</v>
      </c>
      <c r="N39" s="19">
        <f>IF(ISBLANK(Inputs_A!J29),0,Inputs_A!J29)</f>
        <v>0</v>
      </c>
      <c r="O39" s="19">
        <f>IF(ISBLANK(Inputs_A!K29),0,Inputs_A!K29)</f>
        <v>0</v>
      </c>
      <c r="P39" s="19">
        <f>IF(ISBLANK(Inputs_A!L29),0,Inputs_A!L29)</f>
        <v>0</v>
      </c>
      <c r="Q39" s="19" t="str">
        <f>IF(ISBLANK(Inputs_A!C29),"default: carried forward","user")</f>
        <v>default: carried forward</v>
      </c>
      <c r="R39" s="19" t="str">
        <f>IF(NOT(ISBLANK(Inputs_A!D29)),"user (CPI energy override)",IF(ISBLANK(Inputs_A!C29),"oil bridge, Brent default","oil bridge, Brent user"))</f>
        <v>oil bridge, Brent default</v>
      </c>
      <c r="S39" s="19" t="str">
        <f>IF(ISBLANK(Inputs_A!E29),"default: wage-linked","user")</f>
        <v>default: wage-linked</v>
      </c>
      <c r="T39" s="19" t="str">
        <f>IF(ISBLANK(Inputs_A!F29),"default: AR(1)","user")</f>
        <v>default: AR(1)</v>
      </c>
      <c r="U39" s="19" t="str">
        <f>IF(ISBLANK(Inputs_A!G29),"default: carried forward","user")</f>
        <v>default: carried forward</v>
      </c>
      <c r="V39" s="19" t="str">
        <f>IF(ISBLANK(Inputs_A!H29),"default: trend held","user")</f>
        <v>default: trend held</v>
      </c>
    </row>
    <row r="40" spans="1:22" x14ac:dyDescent="0.3">
      <c r="A40" s="18" t="s">
        <v>99</v>
      </c>
      <c r="B40" s="19" t="str">
        <f>IF(A40&lt;=Settings!$B$7,"Forecast","Beyond horizon")</f>
        <v>Beyond horizon</v>
      </c>
      <c r="C40" s="19">
        <f>IF(ISBLANK(Inputs_A!C30),C39,Inputs_A!C30)</f>
        <v>78.233333333333334</v>
      </c>
      <c r="D40" s="19">
        <f t="shared" si="0"/>
        <v>0</v>
      </c>
      <c r="E40" s="19">
        <f>Aux_Models!$B$6+Aux_Models!$B$7*D40</f>
        <v>1.8686902423038689</v>
      </c>
      <c r="F40" s="19">
        <f>IF(ISBLANK(Inputs_A!D30),E40,100*LN(1+Inputs_A!D30/100))</f>
        <v>1.8686902423038689</v>
      </c>
      <c r="G40" s="19" t="str">
        <f>IF(ISBLANK(Inputs_A!E30),"wage-linked",100*LN(1+Inputs_A!E30/100))</f>
        <v>wage-linked</v>
      </c>
      <c r="H40" s="19">
        <f>IF(ISBLANK(Inputs_A!F30),Aux_Models!$B$8+Aux_Models!$B$9*H39,Inputs_A!F30)</f>
        <v>-9.5640225697955564E-2</v>
      </c>
      <c r="I40" s="19">
        <f t="shared" si="1"/>
        <v>-9.8917652990251292E-2</v>
      </c>
      <c r="J40" s="19">
        <f>IF(ISBLANK(Inputs_A!G30),J39,Inputs_A!G30)</f>
        <v>1.6004714863044449</v>
      </c>
      <c r="K40" s="19">
        <f>IF(ISBLANK(Inputs_A!H30),K32,100*LN(1+Inputs_A!H30/100))</f>
        <v>0.91129858563980626</v>
      </c>
      <c r="L40" s="19">
        <f t="shared" si="2"/>
        <v>-9.9538211594009565E-2</v>
      </c>
      <c r="M40" s="19">
        <f>IF(ISBLANK(Inputs_A!I30),0,Inputs_A!I30)</f>
        <v>0</v>
      </c>
      <c r="N40" s="19">
        <f>IF(ISBLANK(Inputs_A!J30),0,Inputs_A!J30)</f>
        <v>0</v>
      </c>
      <c r="O40" s="19">
        <f>IF(ISBLANK(Inputs_A!K30),0,Inputs_A!K30)</f>
        <v>0</v>
      </c>
      <c r="P40" s="19">
        <f>IF(ISBLANK(Inputs_A!L30),0,Inputs_A!L30)</f>
        <v>0</v>
      </c>
      <c r="Q40" s="19" t="str">
        <f>IF(ISBLANK(Inputs_A!C30),"default: carried forward","user")</f>
        <v>default: carried forward</v>
      </c>
      <c r="R40" s="19" t="str">
        <f>IF(NOT(ISBLANK(Inputs_A!D30)),"user (CPI energy override)",IF(ISBLANK(Inputs_A!C30),"oil bridge, Brent default","oil bridge, Brent user"))</f>
        <v>oil bridge, Brent default</v>
      </c>
      <c r="S40" s="19" t="str">
        <f>IF(ISBLANK(Inputs_A!E30),"default: wage-linked","user")</f>
        <v>default: wage-linked</v>
      </c>
      <c r="T40" s="19" t="str">
        <f>IF(ISBLANK(Inputs_A!F30),"default: AR(1)","user")</f>
        <v>default: AR(1)</v>
      </c>
      <c r="U40" s="19" t="str">
        <f>IF(ISBLANK(Inputs_A!G30),"default: carried forward","user")</f>
        <v>default: carried forward</v>
      </c>
      <c r="V40" s="19" t="str">
        <f>IF(ISBLANK(Inputs_A!H30),"default: trend held","user")</f>
        <v>default: trend held</v>
      </c>
    </row>
    <row r="41" spans="1:22" x14ac:dyDescent="0.3">
      <c r="A41" s="18" t="s">
        <v>100</v>
      </c>
      <c r="B41" s="19" t="str">
        <f>IF(A41&lt;=Settings!$B$7,"Forecast","Beyond horizon")</f>
        <v>Beyond horizon</v>
      </c>
      <c r="C41" s="19">
        <f>IF(ISBLANK(Inputs_A!C31),C40,Inputs_A!C31)</f>
        <v>78.233333333333334</v>
      </c>
      <c r="D41" s="19">
        <f t="shared" si="0"/>
        <v>0</v>
      </c>
      <c r="E41" s="19">
        <f>Aux_Models!$B$6+Aux_Models!$B$7*D41</f>
        <v>1.8686902423038689</v>
      </c>
      <c r="F41" s="19">
        <f>IF(ISBLANK(Inputs_A!D31),E41,100*LN(1+Inputs_A!D31/100))</f>
        <v>1.8686902423038689</v>
      </c>
      <c r="G41" s="19" t="str">
        <f>IF(ISBLANK(Inputs_A!E31),"wage-linked",100*LN(1+Inputs_A!E31/100))</f>
        <v>wage-linked</v>
      </c>
      <c r="H41" s="19">
        <f>IF(ISBLANK(Inputs_A!F31),Aux_Models!$B$8+Aux_Models!$B$9*H40,Inputs_A!F31)</f>
        <v>-8.9995178771019868E-2</v>
      </c>
      <c r="I41" s="19">
        <f t="shared" si="1"/>
        <v>-9.2817702234487709E-2</v>
      </c>
      <c r="J41" s="19">
        <f>IF(ISBLANK(Inputs_A!G31),J40,Inputs_A!G31)</f>
        <v>1.6004714863044449</v>
      </c>
      <c r="K41" s="19">
        <f>IF(ISBLANK(Inputs_A!H31),K33,100*LN(1+Inputs_A!H31/100))</f>
        <v>3.9909759049979314</v>
      </c>
      <c r="L41" s="19">
        <f t="shared" si="2"/>
        <v>-9.9538211594009551E-2</v>
      </c>
      <c r="M41" s="19">
        <f>IF(ISBLANK(Inputs_A!I31),0,Inputs_A!I31)</f>
        <v>0</v>
      </c>
      <c r="N41" s="19">
        <f>IF(ISBLANK(Inputs_A!J31),0,Inputs_A!J31)</f>
        <v>0</v>
      </c>
      <c r="O41" s="19">
        <f>IF(ISBLANK(Inputs_A!K31),0,Inputs_A!K31)</f>
        <v>0</v>
      </c>
      <c r="P41" s="19">
        <f>IF(ISBLANK(Inputs_A!L31),0,Inputs_A!L31)</f>
        <v>0</v>
      </c>
      <c r="Q41" s="19" t="str">
        <f>IF(ISBLANK(Inputs_A!C31),"default: carried forward","user")</f>
        <v>default: carried forward</v>
      </c>
      <c r="R41" s="19" t="str">
        <f>IF(NOT(ISBLANK(Inputs_A!D31)),"user (CPI energy override)",IF(ISBLANK(Inputs_A!C31),"oil bridge, Brent default","oil bridge, Brent user"))</f>
        <v>oil bridge, Brent default</v>
      </c>
      <c r="S41" s="19" t="str">
        <f>IF(ISBLANK(Inputs_A!E31),"default: wage-linked","user")</f>
        <v>default: wage-linked</v>
      </c>
      <c r="T41" s="19" t="str">
        <f>IF(ISBLANK(Inputs_A!F31),"default: AR(1)","user")</f>
        <v>default: AR(1)</v>
      </c>
      <c r="U41" s="19" t="str">
        <f>IF(ISBLANK(Inputs_A!G31),"default: carried forward","user")</f>
        <v>default: carried forward</v>
      </c>
      <c r="V41" s="19" t="str">
        <f>IF(ISBLANK(Inputs_A!H31),"default: trend held","user")</f>
        <v>default: trend held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1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6" customWidth="1"/>
    <col min="3" max="16" width="15" customWidth="1"/>
    <col min="17" max="22" width="27" customWidth="1"/>
  </cols>
  <sheetData>
    <row r="1" spans="1:22" ht="18" x14ac:dyDescent="0.35">
      <c r="A1" s="1" t="s">
        <v>142</v>
      </c>
    </row>
    <row r="2" spans="1:22" x14ac:dyDescent="0.3">
      <c r="A2" s="8" t="s">
        <v>143</v>
      </c>
    </row>
    <row r="6" spans="1:22" ht="60" customHeight="1" x14ac:dyDescent="0.3">
      <c r="A6" s="10" t="s">
        <v>57</v>
      </c>
      <c r="B6" s="10" t="s">
        <v>106</v>
      </c>
      <c r="C6" s="10" t="s">
        <v>107</v>
      </c>
      <c r="D6" s="10" t="s">
        <v>108</v>
      </c>
      <c r="E6" s="10" t="s">
        <v>109</v>
      </c>
      <c r="F6" s="10" t="s">
        <v>110</v>
      </c>
      <c r="G6" s="10" t="s">
        <v>111</v>
      </c>
      <c r="H6" s="10" t="s">
        <v>112</v>
      </c>
      <c r="I6" s="10" t="s">
        <v>113</v>
      </c>
      <c r="J6" s="10" t="s">
        <v>114</v>
      </c>
      <c r="K6" s="10" t="s">
        <v>115</v>
      </c>
      <c r="L6" s="10" t="s">
        <v>116</v>
      </c>
      <c r="M6" s="10" t="s">
        <v>117</v>
      </c>
      <c r="N6" s="10" t="s">
        <v>118</v>
      </c>
      <c r="O6" s="10" t="s">
        <v>119</v>
      </c>
      <c r="P6" s="10" t="s">
        <v>120</v>
      </c>
      <c r="Q6" s="10" t="s">
        <v>121</v>
      </c>
      <c r="R6" s="10" t="s">
        <v>122</v>
      </c>
      <c r="S6" s="10" t="s">
        <v>123</v>
      </c>
      <c r="T6" s="10" t="s">
        <v>124</v>
      </c>
      <c r="U6" s="10" t="s">
        <v>125</v>
      </c>
      <c r="V6" s="10" t="s">
        <v>126</v>
      </c>
    </row>
    <row r="7" spans="1:22" x14ac:dyDescent="0.3">
      <c r="A7" s="17"/>
      <c r="B7" s="17"/>
      <c r="C7" s="17" t="s">
        <v>127</v>
      </c>
      <c r="D7" s="17" t="s">
        <v>128</v>
      </c>
      <c r="E7" s="17" t="s">
        <v>128</v>
      </c>
      <c r="F7" s="17" t="s">
        <v>128</v>
      </c>
      <c r="G7" s="17" t="s">
        <v>128</v>
      </c>
      <c r="H7" s="17" t="s">
        <v>129</v>
      </c>
      <c r="I7" s="17" t="s">
        <v>129</v>
      </c>
      <c r="J7" s="17" t="s">
        <v>130</v>
      </c>
      <c r="K7" s="17" t="s">
        <v>128</v>
      </c>
      <c r="L7" s="17" t="s">
        <v>128</v>
      </c>
      <c r="M7" s="17" t="s">
        <v>131</v>
      </c>
      <c r="N7" s="17" t="s">
        <v>131</v>
      </c>
      <c r="O7" s="17" t="s">
        <v>131</v>
      </c>
      <c r="P7" s="17" t="s">
        <v>131</v>
      </c>
      <c r="Q7" s="17"/>
      <c r="R7" s="17"/>
      <c r="S7" s="17"/>
      <c r="T7" s="17"/>
      <c r="U7" s="17"/>
      <c r="V7" s="17"/>
    </row>
    <row r="8" spans="1:22" x14ac:dyDescent="0.3">
      <c r="A8" s="18" t="s">
        <v>132</v>
      </c>
      <c r="B8" s="18" t="s">
        <v>133</v>
      </c>
      <c r="C8" s="19">
        <f>History!B16</f>
        <v>60.6</v>
      </c>
      <c r="F8" s="19">
        <f>History!N16</f>
        <v>44.055904381972042</v>
      </c>
      <c r="G8" s="19">
        <f>History!O16</f>
        <v>1.261023468109655</v>
      </c>
      <c r="H8" s="19">
        <f>History!H16</f>
        <v>1.9166773333333329</v>
      </c>
      <c r="I8" s="19">
        <f>History!T16</f>
        <v>1.3591036666666665</v>
      </c>
      <c r="J8" s="19">
        <f>History!I16</f>
        <v>0.78176069229489098</v>
      </c>
      <c r="K8" s="19">
        <f>History!R16</f>
        <v>2.8649674490205648</v>
      </c>
      <c r="L8" s="19">
        <f>History!S16</f>
        <v>4.2386431350822438</v>
      </c>
    </row>
    <row r="9" spans="1:22" x14ac:dyDescent="0.3">
      <c r="A9" s="18" t="s">
        <v>134</v>
      </c>
      <c r="B9" s="18" t="s">
        <v>133</v>
      </c>
      <c r="C9" s="19">
        <f>History!B17</f>
        <v>68.633333333333326</v>
      </c>
      <c r="D9" s="19">
        <f t="shared" ref="D9:D41" si="0">400*LN(C9/C8)</f>
        <v>49.793372916146097</v>
      </c>
      <c r="F9" s="19">
        <f>History!N17</f>
        <v>6.8841559284253533</v>
      </c>
      <c r="G9" s="19">
        <f>History!O17</f>
        <v>6.3708245310010989</v>
      </c>
      <c r="H9" s="19">
        <f>History!H17</f>
        <v>2.8931446666666671</v>
      </c>
      <c r="I9" s="19">
        <f>History!T17</f>
        <v>2.4049110000000002</v>
      </c>
      <c r="J9" s="19">
        <f>History!I17</f>
        <v>1.039445516757326</v>
      </c>
      <c r="K9" s="19">
        <f>History!R17</f>
        <v>0.83221265782977105</v>
      </c>
      <c r="L9" s="19">
        <f>History!S17</f>
        <v>4.0353301267593427</v>
      </c>
    </row>
    <row r="10" spans="1:22" x14ac:dyDescent="0.3">
      <c r="A10" s="18" t="s">
        <v>135</v>
      </c>
      <c r="B10" s="18" t="s">
        <v>133</v>
      </c>
      <c r="C10" s="19">
        <f>History!B18</f>
        <v>73</v>
      </c>
      <c r="D10" s="19">
        <f t="shared" si="0"/>
        <v>24.67244631310286</v>
      </c>
      <c r="F10" s="19">
        <f>History!N18</f>
        <v>19.54680447021595</v>
      </c>
      <c r="G10" s="19">
        <f>History!O18</f>
        <v>7.7065267353542755</v>
      </c>
      <c r="H10" s="19">
        <f>History!H18</f>
        <v>3.2483949999999999</v>
      </c>
      <c r="I10" s="19">
        <f>History!T18</f>
        <v>3.0707698333333333</v>
      </c>
      <c r="J10" s="19">
        <f>History!I18</f>
        <v>1.328281186509549</v>
      </c>
      <c r="K10" s="19">
        <f>History!R18</f>
        <v>-2.4369498579738789</v>
      </c>
      <c r="L10" s="19">
        <f>History!S18</f>
        <v>3.1715553981464164</v>
      </c>
    </row>
    <row r="11" spans="1:22" x14ac:dyDescent="0.3">
      <c r="A11" s="18" t="s">
        <v>136</v>
      </c>
      <c r="B11" s="18" t="s">
        <v>133</v>
      </c>
      <c r="C11" s="19">
        <f>History!B19</f>
        <v>79.600000000000009</v>
      </c>
      <c r="D11" s="19">
        <f t="shared" si="0"/>
        <v>34.621860680778546</v>
      </c>
      <c r="F11" s="19">
        <f>History!N19</f>
        <v>35.247975717839665</v>
      </c>
      <c r="G11" s="19">
        <f>History!O19</f>
        <v>9.0604705098978844</v>
      </c>
      <c r="H11" s="19">
        <f>History!H19</f>
        <v>4.2794146666666668</v>
      </c>
      <c r="I11" s="19">
        <f>History!T19</f>
        <v>3.7639048333333331</v>
      </c>
      <c r="J11" s="19">
        <f>History!I19</f>
        <v>1.6638247831838899</v>
      </c>
      <c r="K11" s="19">
        <f>History!R19</f>
        <v>2.2649099277219435</v>
      </c>
      <c r="L11" s="19">
        <f>History!S19</f>
        <v>2.9891538089215657</v>
      </c>
    </row>
    <row r="12" spans="1:22" x14ac:dyDescent="0.3">
      <c r="A12" s="18" t="s">
        <v>137</v>
      </c>
      <c r="B12" s="18" t="s">
        <v>133</v>
      </c>
      <c r="C12" s="19">
        <f>History!B20</f>
        <v>98.966666666666654</v>
      </c>
      <c r="D12" s="19">
        <f t="shared" si="0"/>
        <v>87.107600100506772</v>
      </c>
      <c r="F12" s="19">
        <f>History!N20</f>
        <v>49.3797764038558</v>
      </c>
      <c r="G12" s="19">
        <f>History!O20</f>
        <v>10.606801553526497</v>
      </c>
      <c r="H12" s="19">
        <f>History!H20</f>
        <v>3.1419513333333331</v>
      </c>
      <c r="I12" s="19">
        <f>History!T20</f>
        <v>3.710683</v>
      </c>
      <c r="J12" s="19">
        <f>History!I20</f>
        <v>1.863994917676955</v>
      </c>
      <c r="K12" s="19">
        <f>History!R20</f>
        <v>-5.0579242965686344</v>
      </c>
      <c r="L12" s="19">
        <f>History!S20</f>
        <v>2.5590281231496146</v>
      </c>
    </row>
    <row r="13" spans="1:22" x14ac:dyDescent="0.3">
      <c r="A13" s="18" t="s">
        <v>138</v>
      </c>
      <c r="B13" s="18" t="s">
        <v>133</v>
      </c>
      <c r="C13" s="19">
        <f>History!B21</f>
        <v>112.76666666666669</v>
      </c>
      <c r="D13" s="19">
        <f t="shared" si="0"/>
        <v>52.215077606779595</v>
      </c>
      <c r="F13" s="19">
        <f>History!N21</f>
        <v>34.565613597216213</v>
      </c>
      <c r="G13" s="19">
        <f>History!O21</f>
        <v>12.377149223215502</v>
      </c>
      <c r="H13" s="19">
        <f>History!H21</f>
        <v>2.935063</v>
      </c>
      <c r="I13" s="19">
        <f>History!T21</f>
        <v>3.0385071666666663</v>
      </c>
      <c r="J13" s="19">
        <f>History!I21</f>
        <v>1.932085352944453</v>
      </c>
      <c r="K13" s="19">
        <f>History!R21</f>
        <v>-2.9735578961676499</v>
      </c>
      <c r="L13" s="19">
        <f>History!S21</f>
        <v>-0.18801475159583148</v>
      </c>
    </row>
    <row r="14" spans="1:22" x14ac:dyDescent="0.3">
      <c r="A14" s="18" t="s">
        <v>139</v>
      </c>
      <c r="B14" s="18" t="s">
        <v>133</v>
      </c>
      <c r="C14" s="19">
        <f>History!B22</f>
        <v>99.233333333333334</v>
      </c>
      <c r="D14" s="19">
        <f t="shared" si="0"/>
        <v>-51.13872310597295</v>
      </c>
      <c r="F14" s="19">
        <f>History!N22</f>
        <v>-46.617389076088308</v>
      </c>
      <c r="G14" s="19">
        <f>History!O22</f>
        <v>10.447792172448651</v>
      </c>
      <c r="H14" s="19">
        <f>History!H22</f>
        <v>1.5306163333333329</v>
      </c>
      <c r="I14" s="19">
        <f>History!T22</f>
        <v>2.2328396666666666</v>
      </c>
      <c r="J14" s="19">
        <f>History!I22</f>
        <v>1.863192930104441</v>
      </c>
      <c r="K14" s="19">
        <f>History!R22</f>
        <v>0.23036525412416628</v>
      </c>
      <c r="L14" s="19">
        <f>History!S22</f>
        <v>-0.93613823012738584</v>
      </c>
    </row>
    <row r="15" spans="1:22" x14ac:dyDescent="0.3">
      <c r="A15" s="18" t="s">
        <v>140</v>
      </c>
      <c r="B15" s="18" t="s">
        <v>133</v>
      </c>
      <c r="C15" s="19">
        <f>History!B23</f>
        <v>88.366666666666674</v>
      </c>
      <c r="D15" s="19">
        <f t="shared" si="0"/>
        <v>-46.391661890700284</v>
      </c>
      <c r="F15" s="19">
        <f>History!N23</f>
        <v>-10.714021726046267</v>
      </c>
      <c r="G15" s="19">
        <f>History!O23</f>
        <v>6.2305251669384889</v>
      </c>
      <c r="H15" s="19">
        <f>History!H23</f>
        <v>1.309895666666667</v>
      </c>
      <c r="I15" s="19">
        <f>History!T23</f>
        <v>1.420256</v>
      </c>
      <c r="J15" s="19">
        <f>History!I23</f>
        <v>1.812160018132366</v>
      </c>
      <c r="K15" s="19">
        <f>History!R23</f>
        <v>2.2745766854742397</v>
      </c>
      <c r="L15" s="19">
        <f>History!S23</f>
        <v>-0.25017500956743477</v>
      </c>
    </row>
    <row r="16" spans="1:22" x14ac:dyDescent="0.3">
      <c r="A16" s="18" t="s">
        <v>141</v>
      </c>
      <c r="B16" s="18" t="s">
        <v>133</v>
      </c>
      <c r="C16" s="19">
        <f>History!B24</f>
        <v>81.433333333333337</v>
      </c>
      <c r="D16" s="19">
        <f t="shared" si="0"/>
        <v>-32.684054012514061</v>
      </c>
      <c r="F16" s="19">
        <f>History!N24</f>
        <v>-4.8658536279334976</v>
      </c>
      <c r="G16" s="19">
        <f>History!O24</f>
        <v>3.4350357646341876</v>
      </c>
      <c r="H16" s="19">
        <f>History!H24</f>
        <v>-0.1532793333333333</v>
      </c>
      <c r="I16" s="19">
        <f>History!T24</f>
        <v>0.57830816666666685</v>
      </c>
      <c r="J16" s="19">
        <f>History!I24</f>
        <v>1.693346957311535</v>
      </c>
      <c r="K16" s="19">
        <f>History!R24</f>
        <v>0.91129858563980626</v>
      </c>
      <c r="L16" s="19">
        <f>History!S24</f>
        <v>-0.49438361749002957</v>
      </c>
    </row>
    <row r="17" spans="1:22" x14ac:dyDescent="0.3">
      <c r="A17" s="18" t="s">
        <v>29</v>
      </c>
      <c r="B17" s="18" t="s">
        <v>133</v>
      </c>
      <c r="C17" s="19">
        <f>History!B25</f>
        <v>78.233333333333334</v>
      </c>
      <c r="D17" s="19">
        <f t="shared" si="0"/>
        <v>-16.035550162686796</v>
      </c>
      <c r="F17" s="19">
        <f>History!N25</f>
        <v>-10.249406032478745</v>
      </c>
      <c r="G17" s="19">
        <f>History!O25</f>
        <v>2.2534780149525226</v>
      </c>
      <c r="H17" s="19">
        <f>History!H25</f>
        <v>-1.3193496666666671</v>
      </c>
      <c r="I17" s="19">
        <f>History!T25</f>
        <v>-0.7363145000000002</v>
      </c>
      <c r="J17" s="19">
        <f>History!I25</f>
        <v>1.6004714863044449</v>
      </c>
      <c r="K17" s="19">
        <f>History!R25</f>
        <v>3.9909759049979314</v>
      </c>
      <c r="L17" s="19">
        <f>History!S25</f>
        <v>-9.9538211594009551E-2</v>
      </c>
    </row>
    <row r="18" spans="1:22" x14ac:dyDescent="0.3">
      <c r="A18" s="18" t="s">
        <v>77</v>
      </c>
      <c r="B18" s="19" t="str">
        <f>IF(A18&lt;=Settings!$B$7,"Forecast","Beyond horizon")</f>
        <v>Forecast</v>
      </c>
      <c r="C18" s="19">
        <f>IF(ISBLANK(Inputs_B!C8),C17,Inputs_B!C8)</f>
        <v>86.766666666666666</v>
      </c>
      <c r="D18" s="19">
        <f t="shared" si="0"/>
        <v>41.410683657416754</v>
      </c>
      <c r="E18" s="19">
        <f>Aux_Models!$B$6+Aux_Models!$B$7*D18</f>
        <v>14.440649232425596</v>
      </c>
      <c r="F18" s="19">
        <f>IF(ISBLANK(Inputs_B!D8),E18,100*LN(1+Inputs_B!D8/100))</f>
        <v>23.811299379149101</v>
      </c>
      <c r="G18" s="19">
        <f>IF(ISBLANK(Inputs_B!E8),"wage-linked",100*LN(1+Inputs_B!E8/100))</f>
        <v>2.4912565221575611</v>
      </c>
      <c r="H18" s="19">
        <f>IF(ISBLANK(Inputs_B!F8),Aux_Models!$B$8+Aux_Models!$B$9*H17,Inputs_B!F8)</f>
        <v>-0.86747033333333334</v>
      </c>
      <c r="I18" s="19">
        <f t="shared" ref="I18:I41" si="1">AVERAGE(H17:H18)</f>
        <v>-1.0934100000000002</v>
      </c>
      <c r="J18" s="19">
        <f>IF(ISBLANK(Inputs_B!G8),J17,Inputs_B!G8)</f>
        <v>1.4708748375920311</v>
      </c>
      <c r="K18" s="19">
        <f>IF(ISBLANK(Inputs_B!H8),K10,100*LN(1+Inputs_B!H8/100))</f>
        <v>4.9315937579128146</v>
      </c>
      <c r="L18" s="19">
        <f t="shared" ref="L18:L41" si="2">AVERAGE(K11:K18)</f>
        <v>0.82152974039182713</v>
      </c>
      <c r="M18" s="19">
        <f>IF(ISBLANK(Inputs_B!I8),0,Inputs_B!I8)</f>
        <v>0</v>
      </c>
      <c r="N18" s="19">
        <f>IF(ISBLANK(Inputs_B!J8),0,Inputs_B!J8)</f>
        <v>0</v>
      </c>
      <c r="O18" s="19">
        <f>IF(ISBLANK(Inputs_B!K8),0,Inputs_B!K8)</f>
        <v>0</v>
      </c>
      <c r="P18" s="19">
        <f>IF(ISBLANK(Inputs_B!L8),0,Inputs_B!L8)</f>
        <v>0</v>
      </c>
      <c r="Q18" s="19" t="str">
        <f>IF(ISBLANK(Inputs_B!C8),"default: carried forward","user")</f>
        <v>user</v>
      </c>
      <c r="R18" s="19" t="str">
        <f>IF(NOT(ISBLANK(Inputs_B!D8)),"user (CPI energy override)",IF(ISBLANK(Inputs_B!C8),"oil bridge, Brent default","oil bridge, Brent user"))</f>
        <v>user (CPI energy override)</v>
      </c>
      <c r="S18" s="19" t="str">
        <f>IF(ISBLANK(Inputs_B!E8),"default: wage-linked","user")</f>
        <v>user</v>
      </c>
      <c r="T18" s="19" t="str">
        <f>IF(ISBLANK(Inputs_B!F8),"default: AR(1)","user")</f>
        <v>user</v>
      </c>
      <c r="U18" s="19" t="str">
        <f>IF(ISBLANK(Inputs_B!G8),"default: carried forward","user")</f>
        <v>user</v>
      </c>
      <c r="V18" s="19" t="str">
        <f>IF(ISBLANK(Inputs_B!H8),"default: trend held","user")</f>
        <v>user</v>
      </c>
    </row>
    <row r="19" spans="1:22" x14ac:dyDescent="0.3">
      <c r="A19" s="18" t="s">
        <v>79</v>
      </c>
      <c r="B19" s="19" t="str">
        <f>IF(A19&lt;=Settings!$B$7,"Forecast","Beyond horizon")</f>
        <v>Forecast</v>
      </c>
      <c r="C19" s="19">
        <f>IF(ISBLANK(Inputs_B!C9),C18,Inputs_B!C9)</f>
        <v>84.066666666666663</v>
      </c>
      <c r="D19" s="19">
        <f t="shared" si="0"/>
        <v>-12.644955387880202</v>
      </c>
      <c r="E19" s="19">
        <f>Aux_Models!$B$6+Aux_Models!$B$7*D19</f>
        <v>-1.9702191049432014</v>
      </c>
      <c r="F19" s="19">
        <f>IF(ISBLANK(Inputs_B!D9),E19,100*LN(1+Inputs_B!D9/100))</f>
        <v>-16.549677605499728</v>
      </c>
      <c r="G19" s="19">
        <f>IF(ISBLANK(Inputs_B!E9),"wage-linked",100*LN(1+Inputs_B!E9/100))</f>
        <v>2.526079632390049</v>
      </c>
      <c r="H19" s="19">
        <f>IF(ISBLANK(Inputs_B!F9),Aux_Models!$B$8+Aux_Models!$B$9*H18,Inputs_B!F9)</f>
        <v>-9.9495666666666593E-2</v>
      </c>
      <c r="I19" s="19">
        <f t="shared" si="1"/>
        <v>-0.483483</v>
      </c>
      <c r="J19" s="19">
        <f>IF(ISBLANK(Inputs_B!G9),J18,Inputs_B!G9)</f>
        <v>1.351456514880639</v>
      </c>
      <c r="K19" s="19">
        <f>IF(ISBLANK(Inputs_B!H9),K11,100*LN(1+Inputs_B!H9/100))</f>
        <v>3.864730263352306</v>
      </c>
      <c r="L19" s="19">
        <f t="shared" si="2"/>
        <v>1.0215072823456226</v>
      </c>
      <c r="M19" s="19">
        <f>IF(ISBLANK(Inputs_B!I9),0,Inputs_B!I9)</f>
        <v>0</v>
      </c>
      <c r="N19" s="19">
        <f>IF(ISBLANK(Inputs_B!J9),0,Inputs_B!J9)</f>
        <v>0</v>
      </c>
      <c r="O19" s="19">
        <f>IF(ISBLANK(Inputs_B!K9),0,Inputs_B!K9)</f>
        <v>0</v>
      </c>
      <c r="P19" s="19">
        <f>IF(ISBLANK(Inputs_B!L9),0,Inputs_B!L9)</f>
        <v>0</v>
      </c>
      <c r="Q19" s="19" t="str">
        <f>IF(ISBLANK(Inputs_B!C9),"default: carried forward","user")</f>
        <v>user</v>
      </c>
      <c r="R19" s="19" t="str">
        <f>IF(NOT(ISBLANK(Inputs_B!D9)),"user (CPI energy override)",IF(ISBLANK(Inputs_B!C9),"oil bridge, Brent default","oil bridge, Brent user"))</f>
        <v>user (CPI energy override)</v>
      </c>
      <c r="S19" s="19" t="str">
        <f>IF(ISBLANK(Inputs_B!E9),"default: wage-linked","user")</f>
        <v>user</v>
      </c>
      <c r="T19" s="19" t="str">
        <f>IF(ISBLANK(Inputs_B!F9),"default: AR(1)","user")</f>
        <v>user</v>
      </c>
      <c r="U19" s="19" t="str">
        <f>IF(ISBLANK(Inputs_B!G9),"default: carried forward","user")</f>
        <v>user</v>
      </c>
      <c r="V19" s="19" t="str">
        <f>IF(ISBLANK(Inputs_B!H9),"default: trend held","user")</f>
        <v>user</v>
      </c>
    </row>
    <row r="20" spans="1:22" x14ac:dyDescent="0.3">
      <c r="A20" s="18" t="s">
        <v>80</v>
      </c>
      <c r="B20" s="19" t="str">
        <f>IF(A20&lt;=Settings!$B$7,"Forecast","Beyond horizon")</f>
        <v>Forecast</v>
      </c>
      <c r="C20" s="19">
        <f>IF(ISBLANK(Inputs_B!C10),C19,Inputs_B!C10)</f>
        <v>83.13333333333334</v>
      </c>
      <c r="D20" s="19">
        <f t="shared" si="0"/>
        <v>-4.4657561139531818</v>
      </c>
      <c r="E20" s="19">
        <f>Aux_Models!$B$6+Aux_Models!$B$7*D20</f>
        <v>0.51292168776928637</v>
      </c>
      <c r="F20" s="19">
        <f>IF(ISBLANK(Inputs_B!D10),E20,100*LN(1+Inputs_B!D10/100))</f>
        <v>11.1342492312021</v>
      </c>
      <c r="G20" s="19">
        <f>IF(ISBLANK(Inputs_B!E10),"wage-linked",100*LN(1+Inputs_B!E10/100))</f>
        <v>1.6386248703403488</v>
      </c>
      <c r="H20" s="19">
        <f>IF(ISBLANK(Inputs_B!F10),Aux_Models!$B$8+Aux_Models!$B$9*H19,Inputs_B!F10)</f>
        <v>-0.28298666666666661</v>
      </c>
      <c r="I20" s="19">
        <f t="shared" si="1"/>
        <v>-0.1912411666666666</v>
      </c>
      <c r="J20" s="19">
        <f>IF(ISBLANK(Inputs_B!G10),J19,Inputs_B!G10)</f>
        <v>1.304556354916067</v>
      </c>
      <c r="K20" s="19">
        <f>IF(ISBLANK(Inputs_B!H10),K12,100*LN(1+Inputs_B!H10/100))</f>
        <v>0.23175378564984414</v>
      </c>
      <c r="L20" s="19">
        <f t="shared" si="2"/>
        <v>1.6827170426229321</v>
      </c>
      <c r="M20" s="19">
        <f>IF(ISBLANK(Inputs_B!I10),0,Inputs_B!I10)</f>
        <v>0</v>
      </c>
      <c r="N20" s="19">
        <f>IF(ISBLANK(Inputs_B!J10),0,Inputs_B!J10)</f>
        <v>0</v>
      </c>
      <c r="O20" s="19">
        <f>IF(ISBLANK(Inputs_B!K10),0,Inputs_B!K10)</f>
        <v>0</v>
      </c>
      <c r="P20" s="19">
        <f>IF(ISBLANK(Inputs_B!L10),0,Inputs_B!L10)</f>
        <v>0</v>
      </c>
      <c r="Q20" s="19" t="str">
        <f>IF(ISBLANK(Inputs_B!C10),"default: carried forward","user")</f>
        <v>user</v>
      </c>
      <c r="R20" s="19" t="str">
        <f>IF(NOT(ISBLANK(Inputs_B!D10)),"user (CPI energy override)",IF(ISBLANK(Inputs_B!C10),"oil bridge, Brent default","oil bridge, Brent user"))</f>
        <v>user (CPI energy override)</v>
      </c>
      <c r="S20" s="19" t="str">
        <f>IF(ISBLANK(Inputs_B!E10),"default: wage-linked","user")</f>
        <v>user</v>
      </c>
      <c r="T20" s="19" t="str">
        <f>IF(ISBLANK(Inputs_B!F10),"default: AR(1)","user")</f>
        <v>user</v>
      </c>
      <c r="U20" s="19" t="str">
        <f>IF(ISBLANK(Inputs_B!G10),"default: carried forward","user")</f>
        <v>user</v>
      </c>
      <c r="V20" s="19" t="str">
        <f>IF(ISBLANK(Inputs_B!H10),"default: trend held","user")</f>
        <v>user</v>
      </c>
    </row>
    <row r="21" spans="1:22" x14ac:dyDescent="0.3">
      <c r="A21" s="18" t="s">
        <v>81</v>
      </c>
      <c r="B21" s="19" t="str">
        <f>IF(A21&lt;=Settings!$B$7,"Forecast","Beyond horizon")</f>
        <v>Forecast</v>
      </c>
      <c r="C21" s="19">
        <f>IF(ISBLANK(Inputs_B!C11),C20,Inputs_B!C11)</f>
        <v>84.899999999999991</v>
      </c>
      <c r="D21" s="19">
        <f t="shared" si="0"/>
        <v>8.4113394957900418</v>
      </c>
      <c r="E21" s="19">
        <f>Aux_Models!$B$6+Aux_Models!$B$7*D21</f>
        <v>4.4223069869075058</v>
      </c>
      <c r="F21" s="19">
        <f>IF(ISBLANK(Inputs_B!D11),E21,100*LN(1+Inputs_B!D11/100))</f>
        <v>-14.681738080808168</v>
      </c>
      <c r="G21" s="19">
        <f>IF(ISBLANK(Inputs_B!E11),"wage-linked",100*LN(1+Inputs_B!E11/100))</f>
        <v>2.2221806111270306</v>
      </c>
      <c r="H21" s="19">
        <f>IF(ISBLANK(Inputs_B!F11),Aux_Models!$B$8+Aux_Models!$B$9*H20,Inputs_B!F11)</f>
        <v>-0.61931533333333333</v>
      </c>
      <c r="I21" s="19">
        <f t="shared" si="1"/>
        <v>-0.45115099999999997</v>
      </c>
      <c r="J21" s="19">
        <f>IF(ISBLANK(Inputs_B!G11),J20,Inputs_B!G11)</f>
        <v>1.136691007302191</v>
      </c>
      <c r="K21" s="19">
        <f>IF(ISBLANK(Inputs_B!H11),K13,100*LN(1+Inputs_B!H11/100))</f>
        <v>3.6446960208006076</v>
      </c>
      <c r="L21" s="19">
        <f t="shared" si="2"/>
        <v>2.5099987822439647</v>
      </c>
      <c r="M21" s="19">
        <f>IF(ISBLANK(Inputs_B!I11),0,Inputs_B!I11)</f>
        <v>0</v>
      </c>
      <c r="N21" s="19">
        <f>IF(ISBLANK(Inputs_B!J11),0,Inputs_B!J11)</f>
        <v>0</v>
      </c>
      <c r="O21" s="19">
        <f>IF(ISBLANK(Inputs_B!K11),0,Inputs_B!K11)</f>
        <v>0</v>
      </c>
      <c r="P21" s="19">
        <f>IF(ISBLANK(Inputs_B!L11),0,Inputs_B!L11)</f>
        <v>0</v>
      </c>
      <c r="Q21" s="19" t="str">
        <f>IF(ISBLANK(Inputs_B!C11),"default: carried forward","user")</f>
        <v>user</v>
      </c>
      <c r="R21" s="19" t="str">
        <f>IF(NOT(ISBLANK(Inputs_B!D11)),"user (CPI energy override)",IF(ISBLANK(Inputs_B!C11),"oil bridge, Brent default","oil bridge, Brent user"))</f>
        <v>user (CPI energy override)</v>
      </c>
      <c r="S21" s="19" t="str">
        <f>IF(ISBLANK(Inputs_B!E11),"default: wage-linked","user")</f>
        <v>user</v>
      </c>
      <c r="T21" s="19" t="str">
        <f>IF(ISBLANK(Inputs_B!F11),"default: AR(1)","user")</f>
        <v>user</v>
      </c>
      <c r="U21" s="19" t="str">
        <f>IF(ISBLANK(Inputs_B!G11),"default: carried forward","user")</f>
        <v>user</v>
      </c>
      <c r="V21" s="19" t="str">
        <f>IF(ISBLANK(Inputs_B!H11),"default: trend held","user")</f>
        <v>user</v>
      </c>
    </row>
    <row r="22" spans="1:22" x14ac:dyDescent="0.3">
      <c r="A22" s="18" t="s">
        <v>82</v>
      </c>
      <c r="B22" s="19" t="str">
        <f>IF(A22&lt;=Settings!$B$7,"Forecast","Beyond horizon")</f>
        <v>Forecast</v>
      </c>
      <c r="C22" s="19">
        <f>IF(ISBLANK(Inputs_B!C12),C21,Inputs_B!C12)</f>
        <v>80.166666666666671</v>
      </c>
      <c r="D22" s="19">
        <f t="shared" si="0"/>
        <v>-22.946516975838129</v>
      </c>
      <c r="E22" s="19">
        <f>Aux_Models!$B$6+Aux_Models!$B$7*D22</f>
        <v>-5.0976924615639305</v>
      </c>
      <c r="F22" s="19">
        <f>IF(ISBLANK(Inputs_B!D12),E22,100*LN(1+Inputs_B!D12/100))</f>
        <v>-8.1358244694919364</v>
      </c>
      <c r="G22" s="19">
        <f>IF(ISBLANK(Inputs_B!E12),"wage-linked",100*LN(1+Inputs_B!E12/100))</f>
        <v>2.6043672360577821</v>
      </c>
      <c r="H22" s="19">
        <f>IF(ISBLANK(Inputs_B!F12),Aux_Models!$B$8+Aux_Models!$B$9*H21,Inputs_B!F12)</f>
        <v>9.6915333333333298E-2</v>
      </c>
      <c r="I22" s="19">
        <f t="shared" si="1"/>
        <v>-0.26119999999999999</v>
      </c>
      <c r="J22" s="19">
        <f>IF(ISBLANK(Inputs_B!G12),J21,Inputs_B!G12)</f>
        <v>1.041837220371252</v>
      </c>
      <c r="K22" s="19">
        <f>IF(ISBLANK(Inputs_B!H12),K14,100*LN(1+Inputs_B!H12/100))</f>
        <v>3.6186806696594278</v>
      </c>
      <c r="L22" s="19">
        <f t="shared" si="2"/>
        <v>2.9335382091858726</v>
      </c>
      <c r="M22" s="19">
        <f>IF(ISBLANK(Inputs_B!I12),0,Inputs_B!I12)</f>
        <v>0</v>
      </c>
      <c r="N22" s="19">
        <f>IF(ISBLANK(Inputs_B!J12),0,Inputs_B!J12)</f>
        <v>0</v>
      </c>
      <c r="O22" s="19">
        <f>IF(ISBLANK(Inputs_B!K12),0,Inputs_B!K12)</f>
        <v>0</v>
      </c>
      <c r="P22" s="19">
        <f>IF(ISBLANK(Inputs_B!L12),0,Inputs_B!L12)</f>
        <v>0</v>
      </c>
      <c r="Q22" s="19" t="str">
        <f>IF(ISBLANK(Inputs_B!C12),"default: carried forward","user")</f>
        <v>user</v>
      </c>
      <c r="R22" s="19" t="str">
        <f>IF(NOT(ISBLANK(Inputs_B!D12)),"user (CPI energy override)",IF(ISBLANK(Inputs_B!C12),"oil bridge, Brent default","oil bridge, Brent user"))</f>
        <v>user (CPI energy override)</v>
      </c>
      <c r="S22" s="19" t="str">
        <f>IF(ISBLANK(Inputs_B!E12),"default: wage-linked","user")</f>
        <v>user</v>
      </c>
      <c r="T22" s="19" t="str">
        <f>IF(ISBLANK(Inputs_B!F12),"default: AR(1)","user")</f>
        <v>user</v>
      </c>
      <c r="U22" s="19" t="str">
        <f>IF(ISBLANK(Inputs_B!G12),"default: carried forward","user")</f>
        <v>user</v>
      </c>
      <c r="V22" s="19" t="str">
        <f>IF(ISBLANK(Inputs_B!H12),"default: trend held","user")</f>
        <v>user</v>
      </c>
    </row>
    <row r="23" spans="1:22" x14ac:dyDescent="0.3">
      <c r="A23" s="18" t="s">
        <v>83</v>
      </c>
      <c r="B23" s="19" t="str">
        <f>IF(A23&lt;=Settings!$B$7,"Forecast","Beyond horizon")</f>
        <v>Forecast</v>
      </c>
      <c r="C23" s="19">
        <f>IF(ISBLANK(Inputs_B!C13),C22,Inputs_B!C13)</f>
        <v>74.63333333333334</v>
      </c>
      <c r="D23" s="19">
        <f t="shared" si="0"/>
        <v>-28.608226376442691</v>
      </c>
      <c r="E23" s="19">
        <f>Aux_Models!$B$6+Aux_Models!$B$7*D23</f>
        <v>-6.8165430602943609</v>
      </c>
      <c r="F23" s="19">
        <f>IF(ISBLANK(Inputs_B!D13),E23,100*LN(1+Inputs_B!D13/100))</f>
        <v>10.350435412564966</v>
      </c>
      <c r="G23" s="19">
        <f>IF(ISBLANK(Inputs_B!E13),"wage-linked",100*LN(1+Inputs_B!E13/100))</f>
        <v>3.2554137330525692</v>
      </c>
      <c r="H23" s="19">
        <f>IF(ISBLANK(Inputs_B!F13),Aux_Models!$B$8+Aux_Models!$B$9*H22,Inputs_B!F13)</f>
        <v>-0.3629646666666666</v>
      </c>
      <c r="I23" s="19">
        <f t="shared" si="1"/>
        <v>-0.13302466666666665</v>
      </c>
      <c r="J23" s="19">
        <f>IF(ISBLANK(Inputs_B!G13),J22,Inputs_B!G13)</f>
        <v>1.061068702290076</v>
      </c>
      <c r="K23" s="19">
        <f>IF(ISBLANK(Inputs_B!H13),K15,100*LN(1+Inputs_B!H13/100))</f>
        <v>1.4108755164125697</v>
      </c>
      <c r="L23" s="19">
        <f t="shared" si="2"/>
        <v>2.8255755630531634</v>
      </c>
      <c r="M23" s="19">
        <f>IF(ISBLANK(Inputs_B!I13),0,Inputs_B!I13)</f>
        <v>0</v>
      </c>
      <c r="N23" s="19">
        <f>IF(ISBLANK(Inputs_B!J13),0,Inputs_B!J13)</f>
        <v>0</v>
      </c>
      <c r="O23" s="19">
        <f>IF(ISBLANK(Inputs_B!K13),0,Inputs_B!K13)</f>
        <v>0</v>
      </c>
      <c r="P23" s="19">
        <f>IF(ISBLANK(Inputs_B!L13),0,Inputs_B!L13)</f>
        <v>0</v>
      </c>
      <c r="Q23" s="19" t="str">
        <f>IF(ISBLANK(Inputs_B!C13),"default: carried forward","user")</f>
        <v>user</v>
      </c>
      <c r="R23" s="19" t="str">
        <f>IF(NOT(ISBLANK(Inputs_B!D13)),"user (CPI energy override)",IF(ISBLANK(Inputs_B!C13),"oil bridge, Brent default","oil bridge, Brent user"))</f>
        <v>user (CPI energy override)</v>
      </c>
      <c r="S23" s="19" t="str">
        <f>IF(ISBLANK(Inputs_B!E13),"default: wage-linked","user")</f>
        <v>user</v>
      </c>
      <c r="T23" s="19" t="str">
        <f>IF(ISBLANK(Inputs_B!F13),"default: AR(1)","user")</f>
        <v>user</v>
      </c>
      <c r="U23" s="19" t="str">
        <f>IF(ISBLANK(Inputs_B!G13),"default: carried forward","user")</f>
        <v>user</v>
      </c>
      <c r="V23" s="19" t="str">
        <f>IF(ISBLANK(Inputs_B!H13),"default: trend held","user")</f>
        <v>user</v>
      </c>
    </row>
    <row r="24" spans="1:22" x14ac:dyDescent="0.3">
      <c r="A24" s="18" t="s">
        <v>84</v>
      </c>
      <c r="B24" s="19" t="str">
        <f>IF(A24&lt;=Settings!$B$7,"Forecast","Beyond horizon")</f>
        <v>Forecast</v>
      </c>
      <c r="C24" s="19">
        <f>IF(ISBLANK(Inputs_B!C14),C23,Inputs_B!C14)</f>
        <v>75.666666666666671</v>
      </c>
      <c r="D24" s="19">
        <f t="shared" si="0"/>
        <v>5.5001975506774343</v>
      </c>
      <c r="E24" s="19">
        <f>Aux_Models!$B$6+Aux_Models!$B$7*D24</f>
        <v>3.5385071092924933</v>
      </c>
      <c r="F24" s="19">
        <f>IF(ISBLANK(Inputs_B!D14),E24,100*LN(1+Inputs_B!D14/100))</f>
        <v>-1.3215579329746412</v>
      </c>
      <c r="G24" s="19">
        <f>IF(ISBLANK(Inputs_B!E14),"wage-linked",100*LN(1+Inputs_B!E14/100))</f>
        <v>3.4141574804954944</v>
      </c>
      <c r="H24" s="19">
        <f>IF(ISBLANK(Inputs_B!F14),Aux_Models!$B$8+Aux_Models!$B$9*H23,Inputs_B!F14)</f>
        <v>-0.208122</v>
      </c>
      <c r="I24" s="19">
        <f t="shared" si="1"/>
        <v>-0.28554333333333332</v>
      </c>
      <c r="J24" s="19">
        <f>IF(ISBLANK(Inputs_B!G14),J23,Inputs_B!G14)</f>
        <v>1.0248329463058621</v>
      </c>
      <c r="K24" s="19">
        <f>IF(ISBLANK(Inputs_B!H14),K16,100*LN(1+Inputs_B!H14/100))</f>
        <v>-0.88723857690757957</v>
      </c>
      <c r="L24" s="19">
        <f t="shared" si="2"/>
        <v>2.60075841773474</v>
      </c>
      <c r="M24" s="19">
        <f>IF(ISBLANK(Inputs_B!I14),0,Inputs_B!I14)</f>
        <v>0</v>
      </c>
      <c r="N24" s="19">
        <f>IF(ISBLANK(Inputs_B!J14),0,Inputs_B!J14)</f>
        <v>0</v>
      </c>
      <c r="O24" s="19">
        <f>IF(ISBLANK(Inputs_B!K14),0,Inputs_B!K14)</f>
        <v>0</v>
      </c>
      <c r="P24" s="19">
        <f>IF(ISBLANK(Inputs_B!L14),0,Inputs_B!L14)</f>
        <v>0</v>
      </c>
      <c r="Q24" s="19" t="str">
        <f>IF(ISBLANK(Inputs_B!C14),"default: carried forward","user")</f>
        <v>user</v>
      </c>
      <c r="R24" s="19" t="str">
        <f>IF(NOT(ISBLANK(Inputs_B!D14)),"user (CPI energy override)",IF(ISBLANK(Inputs_B!C14),"oil bridge, Brent default","oil bridge, Brent user"))</f>
        <v>user (CPI energy override)</v>
      </c>
      <c r="S24" s="19" t="str">
        <f>IF(ISBLANK(Inputs_B!E14),"default: wage-linked","user")</f>
        <v>user</v>
      </c>
      <c r="T24" s="19" t="str">
        <f>IF(ISBLANK(Inputs_B!F14),"default: AR(1)","user")</f>
        <v>user</v>
      </c>
      <c r="U24" s="19" t="str">
        <f>IF(ISBLANK(Inputs_B!G14),"default: carried forward","user")</f>
        <v>user</v>
      </c>
      <c r="V24" s="19" t="str">
        <f>IF(ISBLANK(Inputs_B!H14),"default: trend held","user")</f>
        <v>user</v>
      </c>
    </row>
    <row r="25" spans="1:22" x14ac:dyDescent="0.3">
      <c r="A25" s="18" t="s">
        <v>85</v>
      </c>
      <c r="B25" s="19" t="str">
        <f>IF(A25&lt;=Settings!$B$7,"Forecast","Beyond horizon")</f>
        <v>Forecast</v>
      </c>
      <c r="C25" s="19">
        <f>IF(ISBLANK(Inputs_B!C15),C24,Inputs_B!C15)</f>
        <v>67.8</v>
      </c>
      <c r="D25" s="19">
        <f t="shared" si="0"/>
        <v>-43.910213546777271</v>
      </c>
      <c r="E25" s="19">
        <f>Aux_Models!$B$6+Aux_Models!$B$7*D25</f>
        <v>-11.462106431435666</v>
      </c>
      <c r="F25" s="19">
        <f>IF(ISBLANK(Inputs_B!D15),E25,100*LN(1+Inputs_B!D15/100))</f>
        <v>-3.3816974422949597</v>
      </c>
      <c r="G25" s="19">
        <f>IF(ISBLANK(Inputs_B!E15),"wage-linked",100*LN(1+Inputs_B!E15/100))</f>
        <v>2.526016855125846</v>
      </c>
      <c r="H25" s="19">
        <f>IF(ISBLANK(Inputs_B!F15),Aux_Models!$B$8+Aux_Models!$B$9*H24,Inputs_B!F15)</f>
        <v>-5.3498999999999998E-2</v>
      </c>
      <c r="I25" s="19">
        <f t="shared" si="1"/>
        <v>-0.1308105</v>
      </c>
      <c r="J25" s="19">
        <f>IF(ISBLANK(Inputs_B!G15),J24,Inputs_B!G15)</f>
        <v>1.0072237498252321</v>
      </c>
      <c r="K25" s="19">
        <f>IF(ISBLANK(Inputs_B!H15),K17,100*LN(1+Inputs_B!H15/100))</f>
        <v>4.1032675335949049</v>
      </c>
      <c r="L25" s="19">
        <f t="shared" si="2"/>
        <v>2.6147948713093618</v>
      </c>
      <c r="M25" s="19">
        <f>IF(ISBLANK(Inputs_B!I15),0,Inputs_B!I15)</f>
        <v>0</v>
      </c>
      <c r="N25" s="19">
        <f>IF(ISBLANK(Inputs_B!J15),0,Inputs_B!J15)</f>
        <v>0</v>
      </c>
      <c r="O25" s="19">
        <f>IF(ISBLANK(Inputs_B!K15),0,Inputs_B!K15)</f>
        <v>0</v>
      </c>
      <c r="P25" s="19">
        <f>IF(ISBLANK(Inputs_B!L15),0,Inputs_B!L15)</f>
        <v>0</v>
      </c>
      <c r="Q25" s="19" t="str">
        <f>IF(ISBLANK(Inputs_B!C15),"default: carried forward","user")</f>
        <v>user</v>
      </c>
      <c r="R25" s="19" t="str">
        <f>IF(NOT(ISBLANK(Inputs_B!D15)),"user (CPI energy override)",IF(ISBLANK(Inputs_B!C15),"oil bridge, Brent default","oil bridge, Brent user"))</f>
        <v>user (CPI energy override)</v>
      </c>
      <c r="S25" s="19" t="str">
        <f>IF(ISBLANK(Inputs_B!E15),"default: wage-linked","user")</f>
        <v>user</v>
      </c>
      <c r="T25" s="19" t="str">
        <f>IF(ISBLANK(Inputs_B!F15),"default: AR(1)","user")</f>
        <v>user</v>
      </c>
      <c r="U25" s="19" t="str">
        <f>IF(ISBLANK(Inputs_B!G15),"default: carried forward","user")</f>
        <v>user</v>
      </c>
      <c r="V25" s="19" t="str">
        <f>IF(ISBLANK(Inputs_B!H15),"default: trend held","user")</f>
        <v>user</v>
      </c>
    </row>
    <row r="26" spans="1:22" x14ac:dyDescent="0.3">
      <c r="A26" s="18" t="s">
        <v>86</v>
      </c>
      <c r="B26" s="19" t="str">
        <f>IF(A26&lt;=Settings!$B$7,"Forecast","Beyond horizon")</f>
        <v>Forecast</v>
      </c>
      <c r="C26" s="19">
        <f>IF(ISBLANK(Inputs_B!C16),C25,Inputs_B!C16)</f>
        <v>69.066666666666663</v>
      </c>
      <c r="D26" s="19">
        <f t="shared" si="0"/>
        <v>7.4040107083473679</v>
      </c>
      <c r="E26" s="19">
        <f>Aux_Models!$B$6+Aux_Models!$B$7*D26</f>
        <v>4.1164898622720809</v>
      </c>
      <c r="F26" s="19">
        <f>IF(ISBLANK(Inputs_B!D16),E26,100*LN(1+Inputs_B!D16/100))</f>
        <v>5.9463677937623736</v>
      </c>
      <c r="G26" s="19">
        <f>IF(ISBLANK(Inputs_B!E16),"wage-linked",100*LN(1+Inputs_B!E16/100))</f>
        <v>3.072992456998791</v>
      </c>
      <c r="H26" s="19">
        <f>IF(ISBLANK(Inputs_B!F16),Aux_Models!$B$8+Aux_Models!$B$9*H25,Inputs_B!F16)</f>
        <v>-2.9837666666666599E-2</v>
      </c>
      <c r="I26" s="19">
        <f t="shared" si="1"/>
        <v>-4.16683333333333E-2</v>
      </c>
      <c r="J26" s="19">
        <f>IF(ISBLANK(Inputs_B!G16),J25,Inputs_B!G16)</f>
        <v>0.95147594015365955</v>
      </c>
      <c r="K26" s="19">
        <f>IF(ISBLANK(Inputs_B!H16),K18,100*LN(1+Inputs_B!H16/100))</f>
        <v>5.0756387445687823</v>
      </c>
      <c r="L26" s="19">
        <f t="shared" si="2"/>
        <v>2.6328004946413577</v>
      </c>
      <c r="M26" s="19">
        <f>IF(ISBLANK(Inputs_B!I16),0,Inputs_B!I16)</f>
        <v>0</v>
      </c>
      <c r="N26" s="19">
        <f>IF(ISBLANK(Inputs_B!J16),0,Inputs_B!J16)</f>
        <v>0</v>
      </c>
      <c r="O26" s="19">
        <f>IF(ISBLANK(Inputs_B!K16),0,Inputs_B!K16)</f>
        <v>0</v>
      </c>
      <c r="P26" s="19">
        <f>IF(ISBLANK(Inputs_B!L16),0,Inputs_B!L16)</f>
        <v>0</v>
      </c>
      <c r="Q26" s="19" t="str">
        <f>IF(ISBLANK(Inputs_B!C16),"default: carried forward","user")</f>
        <v>user</v>
      </c>
      <c r="R26" s="19" t="str">
        <f>IF(NOT(ISBLANK(Inputs_B!D16)),"user (CPI energy override)",IF(ISBLANK(Inputs_B!C16),"oil bridge, Brent default","oil bridge, Brent user"))</f>
        <v>user (CPI energy override)</v>
      </c>
      <c r="S26" s="19" t="str">
        <f>IF(ISBLANK(Inputs_B!E16),"default: wage-linked","user")</f>
        <v>user</v>
      </c>
      <c r="T26" s="19" t="str">
        <f>IF(ISBLANK(Inputs_B!F16),"default: AR(1)","user")</f>
        <v>user</v>
      </c>
      <c r="U26" s="19" t="str">
        <f>IF(ISBLANK(Inputs_B!G16),"default: carried forward","user")</f>
        <v>user</v>
      </c>
      <c r="V26" s="19" t="str">
        <f>IF(ISBLANK(Inputs_B!H16),"default: trend held","user")</f>
        <v>user</v>
      </c>
    </row>
    <row r="27" spans="1:22" x14ac:dyDescent="0.3">
      <c r="A27" s="18" t="s">
        <v>87</v>
      </c>
      <c r="B27" s="19" t="str">
        <f>IF(A27&lt;=Settings!$B$7,"Forecast","Beyond horizon")</f>
        <v>Forecast</v>
      </c>
      <c r="C27" s="19">
        <f>IF(ISBLANK(Inputs_B!C17),C26,Inputs_B!C17)</f>
        <v>63.666666666666657</v>
      </c>
      <c r="D27" s="19">
        <f t="shared" si="0"/>
        <v>-32.564432935479296</v>
      </c>
      <c r="E27" s="19">
        <f>Aux_Models!$B$6+Aux_Models!$B$7*D27</f>
        <v>-8.0176163636990179</v>
      </c>
      <c r="F27" s="19">
        <f>IF(ISBLANK(Inputs_B!D17),E27,100*LN(1+Inputs_B!D17/100))</f>
        <v>6.9559108721646554</v>
      </c>
      <c r="G27" s="19">
        <f>IF(ISBLANK(Inputs_B!E17),"wage-linked",100*LN(1+Inputs_B!E17/100))</f>
        <v>2.9660054525177681</v>
      </c>
      <c r="H27" s="19">
        <f>IF(ISBLANK(Inputs_B!F17),Aux_Models!$B$8+Aux_Models!$B$9*H26,Inputs_B!F17)</f>
        <v>3.3617000000000001E-2</v>
      </c>
      <c r="I27" s="19">
        <f t="shared" si="1"/>
        <v>1.8896666666667009E-3</v>
      </c>
      <c r="J27" s="19">
        <f>IF(ISBLANK(Inputs_B!G17),J26,Inputs_B!G17)</f>
        <v>0.89506898202550378</v>
      </c>
      <c r="K27" s="19">
        <f>IF(ISBLANK(Inputs_B!H17),K19,100*LN(1+Inputs_B!H17/100))</f>
        <v>1.5648500023782459</v>
      </c>
      <c r="L27" s="19">
        <f t="shared" si="2"/>
        <v>2.3453154620196006</v>
      </c>
      <c r="M27" s="19">
        <f>IF(ISBLANK(Inputs_B!I17),0,Inputs_B!I17)</f>
        <v>0</v>
      </c>
      <c r="N27" s="19">
        <f>IF(ISBLANK(Inputs_B!J17),0,Inputs_B!J17)</f>
        <v>0</v>
      </c>
      <c r="O27" s="19">
        <f>IF(ISBLANK(Inputs_B!K17),0,Inputs_B!K17)</f>
        <v>0</v>
      </c>
      <c r="P27" s="19">
        <f>IF(ISBLANK(Inputs_B!L17),0,Inputs_B!L17)</f>
        <v>0</v>
      </c>
      <c r="Q27" s="19" t="str">
        <f>IF(ISBLANK(Inputs_B!C17),"default: carried forward","user")</f>
        <v>user</v>
      </c>
      <c r="R27" s="19" t="str">
        <f>IF(NOT(ISBLANK(Inputs_B!D17)),"user (CPI energy override)",IF(ISBLANK(Inputs_B!C17),"oil bridge, Brent default","oil bridge, Brent user"))</f>
        <v>user (CPI energy override)</v>
      </c>
      <c r="S27" s="19" t="str">
        <f>IF(ISBLANK(Inputs_B!E17),"default: wage-linked","user")</f>
        <v>user</v>
      </c>
      <c r="T27" s="19" t="str">
        <f>IF(ISBLANK(Inputs_B!F17),"default: AR(1)","user")</f>
        <v>user</v>
      </c>
      <c r="U27" s="19" t="str">
        <f>IF(ISBLANK(Inputs_B!G17),"default: carried forward","user")</f>
        <v>user</v>
      </c>
      <c r="V27" s="19" t="str">
        <f>IF(ISBLANK(Inputs_B!H17),"default: trend held","user")</f>
        <v>user</v>
      </c>
    </row>
    <row r="28" spans="1:22" x14ac:dyDescent="0.3">
      <c r="A28" s="18" t="s">
        <v>88</v>
      </c>
      <c r="B28" s="19" t="str">
        <f>IF(A28&lt;=Settings!$B$7,"Forecast","Beyond horizon")</f>
        <v>Forecast</v>
      </c>
      <c r="C28" s="19">
        <f>IF(ISBLANK(Inputs_B!C18),C27,Inputs_B!C18)</f>
        <v>80.533333333333331</v>
      </c>
      <c r="D28" s="19">
        <f t="shared" si="0"/>
        <v>94.004015205612063</v>
      </c>
      <c r="E28" s="19">
        <f>Aux_Models!$B$6+Aux_Models!$B$7*D28</f>
        <v>30.407572474934391</v>
      </c>
      <c r="F28" s="19">
        <f>IF(ISBLANK(Inputs_B!D18),E28,100*LN(1+Inputs_B!D18/100))</f>
        <v>37.910893233406341</v>
      </c>
      <c r="G28" s="19">
        <f>IF(ISBLANK(Inputs_B!E18),"wage-linked",100*LN(1+Inputs_B!E18/100))</f>
        <v>2.2811406735140189</v>
      </c>
      <c r="H28" s="19">
        <f>IF(ISBLANK(Inputs_B!F18),Aux_Models!$B$8+Aux_Models!$B$9*H27,Inputs_B!F18)</f>
        <v>0.49244233333333332</v>
      </c>
      <c r="I28" s="19">
        <f t="shared" si="1"/>
        <v>0.26302966666666666</v>
      </c>
      <c r="J28" s="19">
        <f>IF(ISBLANK(Inputs_B!G18),J27,Inputs_B!G18)</f>
        <v>0.94909369645594721</v>
      </c>
      <c r="K28" s="19">
        <f>IF(ISBLANK(Inputs_B!H18),K20,100*LN(1+Inputs_B!H18/100))</f>
        <v>0.81692809967789082</v>
      </c>
      <c r="L28" s="19">
        <f t="shared" si="2"/>
        <v>2.4184622512731062</v>
      </c>
      <c r="M28" s="19">
        <f>IF(ISBLANK(Inputs_B!I18),0,Inputs_B!I18)</f>
        <v>0</v>
      </c>
      <c r="N28" s="19">
        <f>IF(ISBLANK(Inputs_B!J18),0,Inputs_B!J18)</f>
        <v>0</v>
      </c>
      <c r="O28" s="19">
        <f>IF(ISBLANK(Inputs_B!K18),0,Inputs_B!K18)</f>
        <v>0</v>
      </c>
      <c r="P28" s="19">
        <f>IF(ISBLANK(Inputs_B!L18),0,Inputs_B!L18)</f>
        <v>0</v>
      </c>
      <c r="Q28" s="19" t="str">
        <f>IF(ISBLANK(Inputs_B!C18),"default: carried forward","user")</f>
        <v>user</v>
      </c>
      <c r="R28" s="19" t="str">
        <f>IF(NOT(ISBLANK(Inputs_B!D18)),"user (CPI energy override)",IF(ISBLANK(Inputs_B!C18),"oil bridge, Brent default","oil bridge, Brent user"))</f>
        <v>user (CPI energy override)</v>
      </c>
      <c r="S28" s="19" t="str">
        <f>IF(ISBLANK(Inputs_B!E18),"default: wage-linked","user")</f>
        <v>user</v>
      </c>
      <c r="T28" s="19" t="str">
        <f>IF(ISBLANK(Inputs_B!F18),"default: AR(1)","user")</f>
        <v>user</v>
      </c>
      <c r="U28" s="19" t="str">
        <f>IF(ISBLANK(Inputs_B!G18),"default: carried forward","user")</f>
        <v>user</v>
      </c>
      <c r="V28" s="19" t="str">
        <f>IF(ISBLANK(Inputs_B!H18),"default: trend held","user")</f>
        <v>user</v>
      </c>
    </row>
    <row r="29" spans="1:22" x14ac:dyDescent="0.3">
      <c r="A29" s="18" t="s">
        <v>32</v>
      </c>
      <c r="B29" s="19" t="str">
        <f>IF(A29&lt;=Settings!$B$7,"Forecast","Beyond horizon")</f>
        <v>Forecast</v>
      </c>
      <c r="C29" s="19">
        <f>IF(ISBLANK(Inputs_B!C19),C28,Inputs_B!C19)</f>
        <v>104.43333333333329</v>
      </c>
      <c r="D29" s="19">
        <f t="shared" si="0"/>
        <v>103.95109275899432</v>
      </c>
      <c r="E29" s="19">
        <f>Aux_Models!$B$6+Aux_Models!$B$7*D29</f>
        <v>33.427427257029606</v>
      </c>
      <c r="F29" s="19">
        <f>IF(ISBLANK(Inputs_B!D19),E29,100*LN(1+Inputs_B!D19/100))</f>
        <v>6.6585148357193198</v>
      </c>
      <c r="G29" s="19">
        <f>IF(ISBLANK(Inputs_B!E19),"wage-linked",100*LN(1+Inputs_B!E19/100))</f>
        <v>3.4541417609553884</v>
      </c>
      <c r="H29" s="19">
        <f>IF(ISBLANK(Inputs_B!F19),Aux_Models!$B$8+Aux_Models!$B$9*H28,Inputs_B!F19)</f>
        <v>1.599418666666667</v>
      </c>
      <c r="I29" s="19">
        <f t="shared" si="1"/>
        <v>1.0459305000000001</v>
      </c>
      <c r="J29" s="19">
        <f>IF(ISBLANK(Inputs_B!G19),J28,Inputs_B!G19)</f>
        <v>1.0243409571048041</v>
      </c>
      <c r="K29" s="19">
        <f>IF(ISBLANK(Inputs_B!H19),K21,100*LN(1+Inputs_B!H19/100))</f>
        <v>1.4122905523617384</v>
      </c>
      <c r="L29" s="19">
        <f t="shared" si="2"/>
        <v>2.1394115677182479</v>
      </c>
      <c r="M29" s="19">
        <f>IF(ISBLANK(Inputs_B!I19),0,Inputs_B!I19)</f>
        <v>0</v>
      </c>
      <c r="N29" s="19">
        <f>IF(ISBLANK(Inputs_B!J19),0,Inputs_B!J19)</f>
        <v>0</v>
      </c>
      <c r="O29" s="19">
        <f>IF(ISBLANK(Inputs_B!K19),0,Inputs_B!K19)</f>
        <v>0</v>
      </c>
      <c r="P29" s="19">
        <f>IF(ISBLANK(Inputs_B!L19),0,Inputs_B!L19)</f>
        <v>0</v>
      </c>
      <c r="Q29" s="19" t="str">
        <f>IF(ISBLANK(Inputs_B!C19),"default: carried forward","user")</f>
        <v>user</v>
      </c>
      <c r="R29" s="19" t="str">
        <f>IF(NOT(ISBLANK(Inputs_B!D19)),"user (CPI energy override)",IF(ISBLANK(Inputs_B!C19),"oil bridge, Brent default","oil bridge, Brent user"))</f>
        <v>user (CPI energy override)</v>
      </c>
      <c r="S29" s="19" t="str">
        <f>IF(ISBLANK(Inputs_B!E19),"default: wage-linked","user")</f>
        <v>user</v>
      </c>
      <c r="T29" s="19" t="str">
        <f>IF(ISBLANK(Inputs_B!F19),"default: AR(1)","user")</f>
        <v>user</v>
      </c>
      <c r="U29" s="19" t="str">
        <f>IF(ISBLANK(Inputs_B!G19),"default: carried forward","user")</f>
        <v>user</v>
      </c>
      <c r="V29" s="19" t="str">
        <f>IF(ISBLANK(Inputs_B!H19),"default: trend held","user")</f>
        <v>user</v>
      </c>
    </row>
    <row r="30" spans="1:22" x14ac:dyDescent="0.3">
      <c r="A30" s="18" t="s">
        <v>89</v>
      </c>
      <c r="B30" s="19" t="str">
        <f>IF(A30&lt;=Settings!$B$7,"Forecast","Beyond horizon")</f>
        <v>Beyond horizon</v>
      </c>
      <c r="C30" s="19">
        <f>IF(ISBLANK(Inputs_B!C20),C29,Inputs_B!C20)</f>
        <v>104.43333333333329</v>
      </c>
      <c r="D30" s="19">
        <f t="shared" si="0"/>
        <v>0</v>
      </c>
      <c r="E30" s="19">
        <f>Aux_Models!$B$6+Aux_Models!$B$7*D30</f>
        <v>1.8686902423038689</v>
      </c>
      <c r="F30" s="19">
        <f>IF(ISBLANK(Inputs_B!D20),E30,100*LN(1+Inputs_B!D20/100))</f>
        <v>1.8686902423038689</v>
      </c>
      <c r="G30" s="19" t="str">
        <f>IF(ISBLANK(Inputs_B!E20),"wage-linked",100*LN(1+Inputs_B!E20/100))</f>
        <v>wage-linked</v>
      </c>
      <c r="H30" s="19">
        <f>IF(ISBLANK(Inputs_B!F20),Aux_Models!$B$8+Aux_Models!$B$9*H29,Inputs_B!F20)</f>
        <v>1.3697911319445679</v>
      </c>
      <c r="I30" s="19">
        <f t="shared" si="1"/>
        <v>1.4846048993056176</v>
      </c>
      <c r="J30" s="19">
        <f>IF(ISBLANK(Inputs_B!G20),J29,Inputs_B!G20)</f>
        <v>1.0243409571048041</v>
      </c>
      <c r="K30" s="19">
        <f>IF(ISBLANK(Inputs_B!H20),K22,100*LN(1+Inputs_B!H20/100))</f>
        <v>3.6186806696594278</v>
      </c>
      <c r="L30" s="19">
        <f t="shared" si="2"/>
        <v>2.1394115677182475</v>
      </c>
      <c r="M30" s="19">
        <f>IF(ISBLANK(Inputs_B!I20),0,Inputs_B!I20)</f>
        <v>0</v>
      </c>
      <c r="N30" s="19">
        <f>IF(ISBLANK(Inputs_B!J20),0,Inputs_B!J20)</f>
        <v>0</v>
      </c>
      <c r="O30" s="19">
        <f>IF(ISBLANK(Inputs_B!K20),0,Inputs_B!K20)</f>
        <v>0</v>
      </c>
      <c r="P30" s="19">
        <f>IF(ISBLANK(Inputs_B!L20),0,Inputs_B!L20)</f>
        <v>0</v>
      </c>
      <c r="Q30" s="19" t="str">
        <f>IF(ISBLANK(Inputs_B!C20),"default: carried forward","user")</f>
        <v>default: carried forward</v>
      </c>
      <c r="R30" s="19" t="str">
        <f>IF(NOT(ISBLANK(Inputs_B!D20)),"user (CPI energy override)",IF(ISBLANK(Inputs_B!C20),"oil bridge, Brent default","oil bridge, Brent user"))</f>
        <v>oil bridge, Brent default</v>
      </c>
      <c r="S30" s="19" t="str">
        <f>IF(ISBLANK(Inputs_B!E20),"default: wage-linked","user")</f>
        <v>default: wage-linked</v>
      </c>
      <c r="T30" s="19" t="str">
        <f>IF(ISBLANK(Inputs_B!F20),"default: AR(1)","user")</f>
        <v>default: AR(1)</v>
      </c>
      <c r="U30" s="19" t="str">
        <f>IF(ISBLANK(Inputs_B!G20),"default: carried forward","user")</f>
        <v>default: carried forward</v>
      </c>
      <c r="V30" s="19" t="str">
        <f>IF(ISBLANK(Inputs_B!H20),"default: trend held","user")</f>
        <v>default: trend held</v>
      </c>
    </row>
    <row r="31" spans="1:22" x14ac:dyDescent="0.3">
      <c r="A31" s="18" t="s">
        <v>90</v>
      </c>
      <c r="B31" s="19" t="str">
        <f>IF(A31&lt;=Settings!$B$7,"Forecast","Beyond horizon")</f>
        <v>Beyond horizon</v>
      </c>
      <c r="C31" s="19">
        <f>IF(ISBLANK(Inputs_B!C21),C30,Inputs_B!C21)</f>
        <v>104.43333333333329</v>
      </c>
      <c r="D31" s="19">
        <f t="shared" si="0"/>
        <v>0</v>
      </c>
      <c r="E31" s="19">
        <f>Aux_Models!$B$6+Aux_Models!$B$7*D31</f>
        <v>1.8686902423038689</v>
      </c>
      <c r="F31" s="19">
        <f>IF(ISBLANK(Inputs_B!D21),E31,100*LN(1+Inputs_B!D21/100))</f>
        <v>1.8686902423038689</v>
      </c>
      <c r="G31" s="19" t="str">
        <f>IF(ISBLANK(Inputs_B!E21),"wage-linked",100*LN(1+Inputs_B!E21/100))</f>
        <v>wage-linked</v>
      </c>
      <c r="H31" s="19">
        <f>IF(ISBLANK(Inputs_B!F21),Aux_Models!$B$8+Aux_Models!$B$9*H30,Inputs_B!F21)</f>
        <v>1.1720356832928271</v>
      </c>
      <c r="I31" s="19">
        <f t="shared" si="1"/>
        <v>1.2709134076186976</v>
      </c>
      <c r="J31" s="19">
        <f>IF(ISBLANK(Inputs_B!G21),J30,Inputs_B!G21)</f>
        <v>1.0243409571048041</v>
      </c>
      <c r="K31" s="19">
        <f>IF(ISBLANK(Inputs_B!H21),K23,100*LN(1+Inputs_B!H21/100))</f>
        <v>1.4108755164125697</v>
      </c>
      <c r="L31" s="19">
        <f t="shared" si="2"/>
        <v>2.1394115677182475</v>
      </c>
      <c r="M31" s="19">
        <f>IF(ISBLANK(Inputs_B!I21),0,Inputs_B!I21)</f>
        <v>0</v>
      </c>
      <c r="N31" s="19">
        <f>IF(ISBLANK(Inputs_B!J21),0,Inputs_B!J21)</f>
        <v>0</v>
      </c>
      <c r="O31" s="19">
        <f>IF(ISBLANK(Inputs_B!K21),0,Inputs_B!K21)</f>
        <v>0</v>
      </c>
      <c r="P31" s="19">
        <f>IF(ISBLANK(Inputs_B!L21),0,Inputs_B!L21)</f>
        <v>0</v>
      </c>
      <c r="Q31" s="19" t="str">
        <f>IF(ISBLANK(Inputs_B!C21),"default: carried forward","user")</f>
        <v>default: carried forward</v>
      </c>
      <c r="R31" s="19" t="str">
        <f>IF(NOT(ISBLANK(Inputs_B!D21)),"user (CPI energy override)",IF(ISBLANK(Inputs_B!C21),"oil bridge, Brent default","oil bridge, Brent user"))</f>
        <v>oil bridge, Brent default</v>
      </c>
      <c r="S31" s="19" t="str">
        <f>IF(ISBLANK(Inputs_B!E21),"default: wage-linked","user")</f>
        <v>default: wage-linked</v>
      </c>
      <c r="T31" s="19" t="str">
        <f>IF(ISBLANK(Inputs_B!F21),"default: AR(1)","user")</f>
        <v>default: AR(1)</v>
      </c>
      <c r="U31" s="19" t="str">
        <f>IF(ISBLANK(Inputs_B!G21),"default: carried forward","user")</f>
        <v>default: carried forward</v>
      </c>
      <c r="V31" s="19" t="str">
        <f>IF(ISBLANK(Inputs_B!H21),"default: trend held","user")</f>
        <v>default: trend held</v>
      </c>
    </row>
    <row r="32" spans="1:22" x14ac:dyDescent="0.3">
      <c r="A32" s="18" t="s">
        <v>91</v>
      </c>
      <c r="B32" s="19" t="str">
        <f>IF(A32&lt;=Settings!$B$7,"Forecast","Beyond horizon")</f>
        <v>Beyond horizon</v>
      </c>
      <c r="C32" s="19">
        <f>IF(ISBLANK(Inputs_B!C22),C31,Inputs_B!C22)</f>
        <v>104.43333333333329</v>
      </c>
      <c r="D32" s="19">
        <f t="shared" si="0"/>
        <v>0</v>
      </c>
      <c r="E32" s="19">
        <f>Aux_Models!$B$6+Aux_Models!$B$7*D32</f>
        <v>1.8686902423038689</v>
      </c>
      <c r="F32" s="19">
        <f>IF(ISBLANK(Inputs_B!D22),E32,100*LN(1+Inputs_B!D22/100))</f>
        <v>1.8686902423038689</v>
      </c>
      <c r="G32" s="19" t="str">
        <f>IF(ISBLANK(Inputs_B!E22),"wage-linked",100*LN(1+Inputs_B!E22/100))</f>
        <v>wage-linked</v>
      </c>
      <c r="H32" s="19">
        <f>IF(ISBLANK(Inputs_B!F22),Aux_Models!$B$8+Aux_Models!$B$9*H31,Inputs_B!F22)</f>
        <v>1.001728505110647</v>
      </c>
      <c r="I32" s="19">
        <f t="shared" si="1"/>
        <v>1.0868820942017372</v>
      </c>
      <c r="J32" s="19">
        <f>IF(ISBLANK(Inputs_B!G22),J31,Inputs_B!G22)</f>
        <v>1.0243409571048041</v>
      </c>
      <c r="K32" s="19">
        <f>IF(ISBLANK(Inputs_B!H22),K24,100*LN(1+Inputs_B!H22/100))</f>
        <v>-0.88723857690757957</v>
      </c>
      <c r="L32" s="19">
        <f t="shared" si="2"/>
        <v>2.1394115677182475</v>
      </c>
      <c r="M32" s="19">
        <f>IF(ISBLANK(Inputs_B!I22),0,Inputs_B!I22)</f>
        <v>0</v>
      </c>
      <c r="N32" s="19">
        <f>IF(ISBLANK(Inputs_B!J22),0,Inputs_B!J22)</f>
        <v>0</v>
      </c>
      <c r="O32" s="19">
        <f>IF(ISBLANK(Inputs_B!K22),0,Inputs_B!K22)</f>
        <v>0</v>
      </c>
      <c r="P32" s="19">
        <f>IF(ISBLANK(Inputs_B!L22),0,Inputs_B!L22)</f>
        <v>0</v>
      </c>
      <c r="Q32" s="19" t="str">
        <f>IF(ISBLANK(Inputs_B!C22),"default: carried forward","user")</f>
        <v>default: carried forward</v>
      </c>
      <c r="R32" s="19" t="str">
        <f>IF(NOT(ISBLANK(Inputs_B!D22)),"user (CPI energy override)",IF(ISBLANK(Inputs_B!C22),"oil bridge, Brent default","oil bridge, Brent user"))</f>
        <v>oil bridge, Brent default</v>
      </c>
      <c r="S32" s="19" t="str">
        <f>IF(ISBLANK(Inputs_B!E22),"default: wage-linked","user")</f>
        <v>default: wage-linked</v>
      </c>
      <c r="T32" s="19" t="str">
        <f>IF(ISBLANK(Inputs_B!F22),"default: AR(1)","user")</f>
        <v>default: AR(1)</v>
      </c>
      <c r="U32" s="19" t="str">
        <f>IF(ISBLANK(Inputs_B!G22),"default: carried forward","user")</f>
        <v>default: carried forward</v>
      </c>
      <c r="V32" s="19" t="str">
        <f>IF(ISBLANK(Inputs_B!H22),"default: trend held","user")</f>
        <v>default: trend held</v>
      </c>
    </row>
    <row r="33" spans="1:22" x14ac:dyDescent="0.3">
      <c r="A33" s="18" t="s">
        <v>92</v>
      </c>
      <c r="B33" s="19" t="str">
        <f>IF(A33&lt;=Settings!$B$7,"Forecast","Beyond horizon")</f>
        <v>Beyond horizon</v>
      </c>
      <c r="C33" s="19">
        <f>IF(ISBLANK(Inputs_B!C23),C32,Inputs_B!C23)</f>
        <v>104.43333333333329</v>
      </c>
      <c r="D33" s="19">
        <f t="shared" si="0"/>
        <v>0</v>
      </c>
      <c r="E33" s="19">
        <f>Aux_Models!$B$6+Aux_Models!$B$7*D33</f>
        <v>1.8686902423038689</v>
      </c>
      <c r="F33" s="19">
        <f>IF(ISBLANK(Inputs_B!D23),E33,100*LN(1+Inputs_B!D23/100))</f>
        <v>1.8686902423038689</v>
      </c>
      <c r="G33" s="19" t="str">
        <f>IF(ISBLANK(Inputs_B!E23),"wage-linked",100*LN(1+Inputs_B!E23/100))</f>
        <v>wage-linked</v>
      </c>
      <c r="H33" s="19">
        <f>IF(ISBLANK(Inputs_B!F23),Aux_Models!$B$8+Aux_Models!$B$9*H32,Inputs_B!F23)</f>
        <v>0.85505980324617648</v>
      </c>
      <c r="I33" s="19">
        <f t="shared" si="1"/>
        <v>0.92839415417841176</v>
      </c>
      <c r="J33" s="19">
        <f>IF(ISBLANK(Inputs_B!G23),J32,Inputs_B!G23)</f>
        <v>1.0243409571048041</v>
      </c>
      <c r="K33" s="19">
        <f>IF(ISBLANK(Inputs_B!H23),K25,100*LN(1+Inputs_B!H23/100))</f>
        <v>4.1032675335949049</v>
      </c>
      <c r="L33" s="19">
        <f t="shared" si="2"/>
        <v>2.1394115677182475</v>
      </c>
      <c r="M33" s="19">
        <f>IF(ISBLANK(Inputs_B!I23),0,Inputs_B!I23)</f>
        <v>0</v>
      </c>
      <c r="N33" s="19">
        <f>IF(ISBLANK(Inputs_B!J23),0,Inputs_B!J23)</f>
        <v>0</v>
      </c>
      <c r="O33" s="19">
        <f>IF(ISBLANK(Inputs_B!K23),0,Inputs_B!K23)</f>
        <v>0</v>
      </c>
      <c r="P33" s="19">
        <f>IF(ISBLANK(Inputs_B!L23),0,Inputs_B!L23)</f>
        <v>0</v>
      </c>
      <c r="Q33" s="19" t="str">
        <f>IF(ISBLANK(Inputs_B!C23),"default: carried forward","user")</f>
        <v>default: carried forward</v>
      </c>
      <c r="R33" s="19" t="str">
        <f>IF(NOT(ISBLANK(Inputs_B!D23)),"user (CPI energy override)",IF(ISBLANK(Inputs_B!C23),"oil bridge, Brent default","oil bridge, Brent user"))</f>
        <v>oil bridge, Brent default</v>
      </c>
      <c r="S33" s="19" t="str">
        <f>IF(ISBLANK(Inputs_B!E23),"default: wage-linked","user")</f>
        <v>default: wage-linked</v>
      </c>
      <c r="T33" s="19" t="str">
        <f>IF(ISBLANK(Inputs_B!F23),"default: AR(1)","user")</f>
        <v>default: AR(1)</v>
      </c>
      <c r="U33" s="19" t="str">
        <f>IF(ISBLANK(Inputs_B!G23),"default: carried forward","user")</f>
        <v>default: carried forward</v>
      </c>
      <c r="V33" s="19" t="str">
        <f>IF(ISBLANK(Inputs_B!H23),"default: trend held","user")</f>
        <v>default: trend held</v>
      </c>
    </row>
    <row r="34" spans="1:22" x14ac:dyDescent="0.3">
      <c r="A34" s="18" t="s">
        <v>93</v>
      </c>
      <c r="B34" s="19" t="str">
        <f>IF(A34&lt;=Settings!$B$7,"Forecast","Beyond horizon")</f>
        <v>Beyond horizon</v>
      </c>
      <c r="C34" s="19">
        <f>IF(ISBLANK(Inputs_B!C24),C33,Inputs_B!C24)</f>
        <v>104.43333333333329</v>
      </c>
      <c r="D34" s="19">
        <f t="shared" si="0"/>
        <v>0</v>
      </c>
      <c r="E34" s="19">
        <f>Aux_Models!$B$6+Aux_Models!$B$7*D34</f>
        <v>1.8686902423038689</v>
      </c>
      <c r="F34" s="19">
        <f>IF(ISBLANK(Inputs_B!D24),E34,100*LN(1+Inputs_B!D24/100))</f>
        <v>1.8686902423038689</v>
      </c>
      <c r="G34" s="19" t="str">
        <f>IF(ISBLANK(Inputs_B!E24),"wage-linked",100*LN(1+Inputs_B!E24/100))</f>
        <v>wage-linked</v>
      </c>
      <c r="H34" s="19">
        <f>IF(ISBLANK(Inputs_B!F24),Aux_Models!$B$8+Aux_Models!$B$9*H33,Inputs_B!F24)</f>
        <v>0.72874857939630677</v>
      </c>
      <c r="I34" s="19">
        <f t="shared" si="1"/>
        <v>0.79190419132124168</v>
      </c>
      <c r="J34" s="19">
        <f>IF(ISBLANK(Inputs_B!G24),J33,Inputs_B!G24)</f>
        <v>1.0243409571048041</v>
      </c>
      <c r="K34" s="19">
        <f>IF(ISBLANK(Inputs_B!H24),K26,100*LN(1+Inputs_B!H24/100))</f>
        <v>5.0756387445687823</v>
      </c>
      <c r="L34" s="19">
        <f t="shared" si="2"/>
        <v>2.1394115677182475</v>
      </c>
      <c r="M34" s="19">
        <f>IF(ISBLANK(Inputs_B!I24),0,Inputs_B!I24)</f>
        <v>0</v>
      </c>
      <c r="N34" s="19">
        <f>IF(ISBLANK(Inputs_B!J24),0,Inputs_B!J24)</f>
        <v>0</v>
      </c>
      <c r="O34" s="19">
        <f>IF(ISBLANK(Inputs_B!K24),0,Inputs_B!K24)</f>
        <v>0</v>
      </c>
      <c r="P34" s="19">
        <f>IF(ISBLANK(Inputs_B!L24),0,Inputs_B!L24)</f>
        <v>0</v>
      </c>
      <c r="Q34" s="19" t="str">
        <f>IF(ISBLANK(Inputs_B!C24),"default: carried forward","user")</f>
        <v>default: carried forward</v>
      </c>
      <c r="R34" s="19" t="str">
        <f>IF(NOT(ISBLANK(Inputs_B!D24)),"user (CPI energy override)",IF(ISBLANK(Inputs_B!C24),"oil bridge, Brent default","oil bridge, Brent user"))</f>
        <v>oil bridge, Brent default</v>
      </c>
      <c r="S34" s="19" t="str">
        <f>IF(ISBLANK(Inputs_B!E24),"default: wage-linked","user")</f>
        <v>default: wage-linked</v>
      </c>
      <c r="T34" s="19" t="str">
        <f>IF(ISBLANK(Inputs_B!F24),"default: AR(1)","user")</f>
        <v>default: AR(1)</v>
      </c>
      <c r="U34" s="19" t="str">
        <f>IF(ISBLANK(Inputs_B!G24),"default: carried forward","user")</f>
        <v>default: carried forward</v>
      </c>
      <c r="V34" s="19" t="str">
        <f>IF(ISBLANK(Inputs_B!H24),"default: trend held","user")</f>
        <v>default: trend held</v>
      </c>
    </row>
    <row r="35" spans="1:22" x14ac:dyDescent="0.3">
      <c r="A35" s="18" t="s">
        <v>94</v>
      </c>
      <c r="B35" s="19" t="str">
        <f>IF(A35&lt;=Settings!$B$7,"Forecast","Beyond horizon")</f>
        <v>Beyond horizon</v>
      </c>
      <c r="C35" s="19">
        <f>IF(ISBLANK(Inputs_B!C25),C34,Inputs_B!C25)</f>
        <v>104.43333333333329</v>
      </c>
      <c r="D35" s="19">
        <f t="shared" si="0"/>
        <v>0</v>
      </c>
      <c r="E35" s="19">
        <f>Aux_Models!$B$6+Aux_Models!$B$7*D35</f>
        <v>1.8686902423038689</v>
      </c>
      <c r="F35" s="19">
        <f>IF(ISBLANK(Inputs_B!D25),E35,100*LN(1+Inputs_B!D25/100))</f>
        <v>1.8686902423038689</v>
      </c>
      <c r="G35" s="19" t="str">
        <f>IF(ISBLANK(Inputs_B!E25),"wage-linked",100*LN(1+Inputs_B!E25/100))</f>
        <v>wage-linked</v>
      </c>
      <c r="H35" s="19">
        <f>IF(ISBLANK(Inputs_B!F25),Aux_Models!$B$8+Aux_Models!$B$9*H34,Inputs_B!F25)</f>
        <v>0.61996923473970311</v>
      </c>
      <c r="I35" s="19">
        <f t="shared" si="1"/>
        <v>0.67435890706800494</v>
      </c>
      <c r="J35" s="19">
        <f>IF(ISBLANK(Inputs_B!G25),J34,Inputs_B!G25)</f>
        <v>1.0243409571048041</v>
      </c>
      <c r="K35" s="19">
        <f>IF(ISBLANK(Inputs_B!H25),K27,100*LN(1+Inputs_B!H25/100))</f>
        <v>1.5648500023782459</v>
      </c>
      <c r="L35" s="19">
        <f t="shared" si="2"/>
        <v>2.1394115677182475</v>
      </c>
      <c r="M35" s="19">
        <f>IF(ISBLANK(Inputs_B!I25),0,Inputs_B!I25)</f>
        <v>0</v>
      </c>
      <c r="N35" s="19">
        <f>IF(ISBLANK(Inputs_B!J25),0,Inputs_B!J25)</f>
        <v>0</v>
      </c>
      <c r="O35" s="19">
        <f>IF(ISBLANK(Inputs_B!K25),0,Inputs_B!K25)</f>
        <v>0</v>
      </c>
      <c r="P35" s="19">
        <f>IF(ISBLANK(Inputs_B!L25),0,Inputs_B!L25)</f>
        <v>0</v>
      </c>
      <c r="Q35" s="19" t="str">
        <f>IF(ISBLANK(Inputs_B!C25),"default: carried forward","user")</f>
        <v>default: carried forward</v>
      </c>
      <c r="R35" s="19" t="str">
        <f>IF(NOT(ISBLANK(Inputs_B!D25)),"user (CPI energy override)",IF(ISBLANK(Inputs_B!C25),"oil bridge, Brent default","oil bridge, Brent user"))</f>
        <v>oil bridge, Brent default</v>
      </c>
      <c r="S35" s="19" t="str">
        <f>IF(ISBLANK(Inputs_B!E25),"default: wage-linked","user")</f>
        <v>default: wage-linked</v>
      </c>
      <c r="T35" s="19" t="str">
        <f>IF(ISBLANK(Inputs_B!F25),"default: AR(1)","user")</f>
        <v>default: AR(1)</v>
      </c>
      <c r="U35" s="19" t="str">
        <f>IF(ISBLANK(Inputs_B!G25),"default: carried forward","user")</f>
        <v>default: carried forward</v>
      </c>
      <c r="V35" s="19" t="str">
        <f>IF(ISBLANK(Inputs_B!H25),"default: trend held","user")</f>
        <v>default: trend held</v>
      </c>
    </row>
    <row r="36" spans="1:22" x14ac:dyDescent="0.3">
      <c r="A36" s="18" t="s">
        <v>95</v>
      </c>
      <c r="B36" s="19" t="str">
        <f>IF(A36&lt;=Settings!$B$7,"Forecast","Beyond horizon")</f>
        <v>Beyond horizon</v>
      </c>
      <c r="C36" s="19">
        <f>IF(ISBLANK(Inputs_B!C26),C35,Inputs_B!C26)</f>
        <v>104.43333333333329</v>
      </c>
      <c r="D36" s="19">
        <f t="shared" si="0"/>
        <v>0</v>
      </c>
      <c r="E36" s="19">
        <f>Aux_Models!$B$6+Aux_Models!$B$7*D36</f>
        <v>1.8686902423038689</v>
      </c>
      <c r="F36" s="19">
        <f>IF(ISBLANK(Inputs_B!D26),E36,100*LN(1+Inputs_B!D26/100))</f>
        <v>1.8686902423038689</v>
      </c>
      <c r="G36" s="19" t="str">
        <f>IF(ISBLANK(Inputs_B!E26),"wage-linked",100*LN(1+Inputs_B!E26/100))</f>
        <v>wage-linked</v>
      </c>
      <c r="H36" s="19">
        <f>IF(ISBLANK(Inputs_B!F26),Aux_Models!$B$8+Aux_Models!$B$9*H35,Inputs_B!F26)</f>
        <v>0.52628836091660969</v>
      </c>
      <c r="I36" s="19">
        <f t="shared" si="1"/>
        <v>0.5731287978281564</v>
      </c>
      <c r="J36" s="19">
        <f>IF(ISBLANK(Inputs_B!G26),J35,Inputs_B!G26)</f>
        <v>1.0243409571048041</v>
      </c>
      <c r="K36" s="19">
        <f>IF(ISBLANK(Inputs_B!H26),K28,100*LN(1+Inputs_B!H26/100))</f>
        <v>0.81692809967789082</v>
      </c>
      <c r="L36" s="19">
        <f t="shared" si="2"/>
        <v>2.1394115677182475</v>
      </c>
      <c r="M36" s="19">
        <f>IF(ISBLANK(Inputs_B!I26),0,Inputs_B!I26)</f>
        <v>0</v>
      </c>
      <c r="N36" s="19">
        <f>IF(ISBLANK(Inputs_B!J26),0,Inputs_B!J26)</f>
        <v>0</v>
      </c>
      <c r="O36" s="19">
        <f>IF(ISBLANK(Inputs_B!K26),0,Inputs_B!K26)</f>
        <v>0</v>
      </c>
      <c r="P36" s="19">
        <f>IF(ISBLANK(Inputs_B!L26),0,Inputs_B!L26)</f>
        <v>0</v>
      </c>
      <c r="Q36" s="19" t="str">
        <f>IF(ISBLANK(Inputs_B!C26),"default: carried forward","user")</f>
        <v>default: carried forward</v>
      </c>
      <c r="R36" s="19" t="str">
        <f>IF(NOT(ISBLANK(Inputs_B!D26)),"user (CPI energy override)",IF(ISBLANK(Inputs_B!C26),"oil bridge, Brent default","oil bridge, Brent user"))</f>
        <v>oil bridge, Brent default</v>
      </c>
      <c r="S36" s="19" t="str">
        <f>IF(ISBLANK(Inputs_B!E26),"default: wage-linked","user")</f>
        <v>default: wage-linked</v>
      </c>
      <c r="T36" s="19" t="str">
        <f>IF(ISBLANK(Inputs_B!F26),"default: AR(1)","user")</f>
        <v>default: AR(1)</v>
      </c>
      <c r="U36" s="19" t="str">
        <f>IF(ISBLANK(Inputs_B!G26),"default: carried forward","user")</f>
        <v>default: carried forward</v>
      </c>
      <c r="V36" s="19" t="str">
        <f>IF(ISBLANK(Inputs_B!H26),"default: trend held","user")</f>
        <v>default: trend held</v>
      </c>
    </row>
    <row r="37" spans="1:22" x14ac:dyDescent="0.3">
      <c r="A37" s="18" t="s">
        <v>96</v>
      </c>
      <c r="B37" s="19" t="str">
        <f>IF(A37&lt;=Settings!$B$7,"Forecast","Beyond horizon")</f>
        <v>Beyond horizon</v>
      </c>
      <c r="C37" s="19">
        <f>IF(ISBLANK(Inputs_B!C27),C36,Inputs_B!C27)</f>
        <v>104.43333333333329</v>
      </c>
      <c r="D37" s="19">
        <f t="shared" si="0"/>
        <v>0</v>
      </c>
      <c r="E37" s="19">
        <f>Aux_Models!$B$6+Aux_Models!$B$7*D37</f>
        <v>1.8686902423038689</v>
      </c>
      <c r="F37" s="19">
        <f>IF(ISBLANK(Inputs_B!D27),E37,100*LN(1+Inputs_B!D27/100))</f>
        <v>1.8686902423038689</v>
      </c>
      <c r="G37" s="19" t="str">
        <f>IF(ISBLANK(Inputs_B!E27),"wage-linked",100*LN(1+Inputs_B!E27/100))</f>
        <v>wage-linked</v>
      </c>
      <c r="H37" s="19">
        <f>IF(ISBLANK(Inputs_B!F27),Aux_Models!$B$8+Aux_Models!$B$9*H36,Inputs_B!F27)</f>
        <v>0.44561030436126897</v>
      </c>
      <c r="I37" s="19">
        <f t="shared" si="1"/>
        <v>0.48594933263893936</v>
      </c>
      <c r="J37" s="19">
        <f>IF(ISBLANK(Inputs_B!G27),J36,Inputs_B!G27)</f>
        <v>1.0243409571048041</v>
      </c>
      <c r="K37" s="19">
        <f>IF(ISBLANK(Inputs_B!H27),K29,100*LN(1+Inputs_B!H27/100))</f>
        <v>1.4122905523617384</v>
      </c>
      <c r="L37" s="19">
        <f t="shared" si="2"/>
        <v>2.1394115677182479</v>
      </c>
      <c r="M37" s="19">
        <f>IF(ISBLANK(Inputs_B!I27),0,Inputs_B!I27)</f>
        <v>0</v>
      </c>
      <c r="N37" s="19">
        <f>IF(ISBLANK(Inputs_B!J27),0,Inputs_B!J27)</f>
        <v>0</v>
      </c>
      <c r="O37" s="19">
        <f>IF(ISBLANK(Inputs_B!K27),0,Inputs_B!K27)</f>
        <v>0</v>
      </c>
      <c r="P37" s="19">
        <f>IF(ISBLANK(Inputs_B!L27),0,Inputs_B!L27)</f>
        <v>0</v>
      </c>
      <c r="Q37" s="19" t="str">
        <f>IF(ISBLANK(Inputs_B!C27),"default: carried forward","user")</f>
        <v>default: carried forward</v>
      </c>
      <c r="R37" s="19" t="str">
        <f>IF(NOT(ISBLANK(Inputs_B!D27)),"user (CPI energy override)",IF(ISBLANK(Inputs_B!C27),"oil bridge, Brent default","oil bridge, Brent user"))</f>
        <v>oil bridge, Brent default</v>
      </c>
      <c r="S37" s="19" t="str">
        <f>IF(ISBLANK(Inputs_B!E27),"default: wage-linked","user")</f>
        <v>default: wage-linked</v>
      </c>
      <c r="T37" s="19" t="str">
        <f>IF(ISBLANK(Inputs_B!F27),"default: AR(1)","user")</f>
        <v>default: AR(1)</v>
      </c>
      <c r="U37" s="19" t="str">
        <f>IF(ISBLANK(Inputs_B!G27),"default: carried forward","user")</f>
        <v>default: carried forward</v>
      </c>
      <c r="V37" s="19" t="str">
        <f>IF(ISBLANK(Inputs_B!H27),"default: trend held","user")</f>
        <v>default: trend held</v>
      </c>
    </row>
    <row r="38" spans="1:22" x14ac:dyDescent="0.3">
      <c r="A38" s="18" t="s">
        <v>97</v>
      </c>
      <c r="B38" s="19" t="str">
        <f>IF(A38&lt;=Settings!$B$7,"Forecast","Beyond horizon")</f>
        <v>Beyond horizon</v>
      </c>
      <c r="C38" s="19">
        <f>IF(ISBLANK(Inputs_B!C28),C37,Inputs_B!C28)</f>
        <v>104.43333333333329</v>
      </c>
      <c r="D38" s="19">
        <f t="shared" si="0"/>
        <v>0</v>
      </c>
      <c r="E38" s="19">
        <f>Aux_Models!$B$6+Aux_Models!$B$7*D38</f>
        <v>1.8686902423038689</v>
      </c>
      <c r="F38" s="19">
        <f>IF(ISBLANK(Inputs_B!D28),E38,100*LN(1+Inputs_B!D28/100))</f>
        <v>1.8686902423038689</v>
      </c>
      <c r="G38" s="19" t="str">
        <f>IF(ISBLANK(Inputs_B!E28),"wage-linked",100*LN(1+Inputs_B!E28/100))</f>
        <v>wage-linked</v>
      </c>
      <c r="H38" s="19">
        <f>IF(ISBLANK(Inputs_B!F28),Aux_Models!$B$8+Aux_Models!$B$9*H37,Inputs_B!F28)</f>
        <v>0.37613028625385658</v>
      </c>
      <c r="I38" s="19">
        <f t="shared" si="1"/>
        <v>0.41087029530756281</v>
      </c>
      <c r="J38" s="19">
        <f>IF(ISBLANK(Inputs_B!G28),J37,Inputs_B!G28)</f>
        <v>1.0243409571048041</v>
      </c>
      <c r="K38" s="19">
        <f>IF(ISBLANK(Inputs_B!H28),K30,100*LN(1+Inputs_B!H28/100))</f>
        <v>3.6186806696594278</v>
      </c>
      <c r="L38" s="19">
        <f t="shared" si="2"/>
        <v>2.1394115677182475</v>
      </c>
      <c r="M38" s="19">
        <f>IF(ISBLANK(Inputs_B!I28),0,Inputs_B!I28)</f>
        <v>0</v>
      </c>
      <c r="N38" s="19">
        <f>IF(ISBLANK(Inputs_B!J28),0,Inputs_B!J28)</f>
        <v>0</v>
      </c>
      <c r="O38" s="19">
        <f>IF(ISBLANK(Inputs_B!K28),0,Inputs_B!K28)</f>
        <v>0</v>
      </c>
      <c r="P38" s="19">
        <f>IF(ISBLANK(Inputs_B!L28),0,Inputs_B!L28)</f>
        <v>0</v>
      </c>
      <c r="Q38" s="19" t="str">
        <f>IF(ISBLANK(Inputs_B!C28),"default: carried forward","user")</f>
        <v>default: carried forward</v>
      </c>
      <c r="R38" s="19" t="str">
        <f>IF(NOT(ISBLANK(Inputs_B!D28)),"user (CPI energy override)",IF(ISBLANK(Inputs_B!C28),"oil bridge, Brent default","oil bridge, Brent user"))</f>
        <v>oil bridge, Brent default</v>
      </c>
      <c r="S38" s="19" t="str">
        <f>IF(ISBLANK(Inputs_B!E28),"default: wage-linked","user")</f>
        <v>default: wage-linked</v>
      </c>
      <c r="T38" s="19" t="str">
        <f>IF(ISBLANK(Inputs_B!F28),"default: AR(1)","user")</f>
        <v>default: AR(1)</v>
      </c>
      <c r="U38" s="19" t="str">
        <f>IF(ISBLANK(Inputs_B!G28),"default: carried forward","user")</f>
        <v>default: carried forward</v>
      </c>
      <c r="V38" s="19" t="str">
        <f>IF(ISBLANK(Inputs_B!H28),"default: trend held","user")</f>
        <v>default: trend held</v>
      </c>
    </row>
    <row r="39" spans="1:22" x14ac:dyDescent="0.3">
      <c r="A39" s="18" t="s">
        <v>98</v>
      </c>
      <c r="B39" s="19" t="str">
        <f>IF(A39&lt;=Settings!$B$7,"Forecast","Beyond horizon")</f>
        <v>Beyond horizon</v>
      </c>
      <c r="C39" s="19">
        <f>IF(ISBLANK(Inputs_B!C29),C38,Inputs_B!C29)</f>
        <v>104.43333333333329</v>
      </c>
      <c r="D39" s="19">
        <f t="shared" si="0"/>
        <v>0</v>
      </c>
      <c r="E39" s="19">
        <f>Aux_Models!$B$6+Aux_Models!$B$7*D39</f>
        <v>1.8686902423038689</v>
      </c>
      <c r="F39" s="19">
        <f>IF(ISBLANK(Inputs_B!D29),E39,100*LN(1+Inputs_B!D29/100))</f>
        <v>1.8686902423038689</v>
      </c>
      <c r="G39" s="19" t="str">
        <f>IF(ISBLANK(Inputs_B!E29),"wage-linked",100*LN(1+Inputs_B!E29/100))</f>
        <v>wage-linked</v>
      </c>
      <c r="H39" s="19">
        <f>IF(ISBLANK(Inputs_B!F29),Aux_Models!$B$8+Aux_Models!$B$9*H38,Inputs_B!F29)</f>
        <v>0.31629402937903994</v>
      </c>
      <c r="I39" s="19">
        <f t="shared" si="1"/>
        <v>0.34621215781644826</v>
      </c>
      <c r="J39" s="19">
        <f>IF(ISBLANK(Inputs_B!G29),J38,Inputs_B!G29)</f>
        <v>1.0243409571048041</v>
      </c>
      <c r="K39" s="19">
        <f>IF(ISBLANK(Inputs_B!H29),K31,100*LN(1+Inputs_B!H29/100))</f>
        <v>1.4108755164125697</v>
      </c>
      <c r="L39" s="19">
        <f t="shared" si="2"/>
        <v>2.1394115677182475</v>
      </c>
      <c r="M39" s="19">
        <f>IF(ISBLANK(Inputs_B!I29),0,Inputs_B!I29)</f>
        <v>0</v>
      </c>
      <c r="N39" s="19">
        <f>IF(ISBLANK(Inputs_B!J29),0,Inputs_B!J29)</f>
        <v>0</v>
      </c>
      <c r="O39" s="19">
        <f>IF(ISBLANK(Inputs_B!K29),0,Inputs_B!K29)</f>
        <v>0</v>
      </c>
      <c r="P39" s="19">
        <f>IF(ISBLANK(Inputs_B!L29),0,Inputs_B!L29)</f>
        <v>0</v>
      </c>
      <c r="Q39" s="19" t="str">
        <f>IF(ISBLANK(Inputs_B!C29),"default: carried forward","user")</f>
        <v>default: carried forward</v>
      </c>
      <c r="R39" s="19" t="str">
        <f>IF(NOT(ISBLANK(Inputs_B!D29)),"user (CPI energy override)",IF(ISBLANK(Inputs_B!C29),"oil bridge, Brent default","oil bridge, Brent user"))</f>
        <v>oil bridge, Brent default</v>
      </c>
      <c r="S39" s="19" t="str">
        <f>IF(ISBLANK(Inputs_B!E29),"default: wage-linked","user")</f>
        <v>default: wage-linked</v>
      </c>
      <c r="T39" s="19" t="str">
        <f>IF(ISBLANK(Inputs_B!F29),"default: AR(1)","user")</f>
        <v>default: AR(1)</v>
      </c>
      <c r="U39" s="19" t="str">
        <f>IF(ISBLANK(Inputs_B!G29),"default: carried forward","user")</f>
        <v>default: carried forward</v>
      </c>
      <c r="V39" s="19" t="str">
        <f>IF(ISBLANK(Inputs_B!H29),"default: trend held","user")</f>
        <v>default: trend held</v>
      </c>
    </row>
    <row r="40" spans="1:22" x14ac:dyDescent="0.3">
      <c r="A40" s="18" t="s">
        <v>99</v>
      </c>
      <c r="B40" s="19" t="str">
        <f>IF(A40&lt;=Settings!$B$7,"Forecast","Beyond horizon")</f>
        <v>Beyond horizon</v>
      </c>
      <c r="C40" s="19">
        <f>IF(ISBLANK(Inputs_B!C30),C39,Inputs_B!C30)</f>
        <v>104.43333333333329</v>
      </c>
      <c r="D40" s="19">
        <f t="shared" si="0"/>
        <v>0</v>
      </c>
      <c r="E40" s="19">
        <f>Aux_Models!$B$6+Aux_Models!$B$7*D40</f>
        <v>1.8686902423038689</v>
      </c>
      <c r="F40" s="19">
        <f>IF(ISBLANK(Inputs_B!D30),E40,100*LN(1+Inputs_B!D30/100))</f>
        <v>1.8686902423038689</v>
      </c>
      <c r="G40" s="19" t="str">
        <f>IF(ISBLANK(Inputs_B!E30),"wage-linked",100*LN(1+Inputs_B!E30/100))</f>
        <v>wage-linked</v>
      </c>
      <c r="H40" s="19">
        <f>IF(ISBLANK(Inputs_B!F30),Aux_Models!$B$8+Aux_Models!$B$9*H39,Inputs_B!F30)</f>
        <v>0.26476298873863635</v>
      </c>
      <c r="I40" s="19">
        <f t="shared" si="1"/>
        <v>0.29052850905883815</v>
      </c>
      <c r="J40" s="19">
        <f>IF(ISBLANK(Inputs_B!G30),J39,Inputs_B!G30)</f>
        <v>1.0243409571048041</v>
      </c>
      <c r="K40" s="19">
        <f>IF(ISBLANK(Inputs_B!H30),K32,100*LN(1+Inputs_B!H30/100))</f>
        <v>-0.88723857690757957</v>
      </c>
      <c r="L40" s="19">
        <f t="shared" si="2"/>
        <v>2.1394115677182475</v>
      </c>
      <c r="M40" s="19">
        <f>IF(ISBLANK(Inputs_B!I30),0,Inputs_B!I30)</f>
        <v>0</v>
      </c>
      <c r="N40" s="19">
        <f>IF(ISBLANK(Inputs_B!J30),0,Inputs_B!J30)</f>
        <v>0</v>
      </c>
      <c r="O40" s="19">
        <f>IF(ISBLANK(Inputs_B!K30),0,Inputs_B!K30)</f>
        <v>0</v>
      </c>
      <c r="P40" s="19">
        <f>IF(ISBLANK(Inputs_B!L30),0,Inputs_B!L30)</f>
        <v>0</v>
      </c>
      <c r="Q40" s="19" t="str">
        <f>IF(ISBLANK(Inputs_B!C30),"default: carried forward","user")</f>
        <v>default: carried forward</v>
      </c>
      <c r="R40" s="19" t="str">
        <f>IF(NOT(ISBLANK(Inputs_B!D30)),"user (CPI energy override)",IF(ISBLANK(Inputs_B!C30),"oil bridge, Brent default","oil bridge, Brent user"))</f>
        <v>oil bridge, Brent default</v>
      </c>
      <c r="S40" s="19" t="str">
        <f>IF(ISBLANK(Inputs_B!E30),"default: wage-linked","user")</f>
        <v>default: wage-linked</v>
      </c>
      <c r="T40" s="19" t="str">
        <f>IF(ISBLANK(Inputs_B!F30),"default: AR(1)","user")</f>
        <v>default: AR(1)</v>
      </c>
      <c r="U40" s="19" t="str">
        <f>IF(ISBLANK(Inputs_B!G30),"default: carried forward","user")</f>
        <v>default: carried forward</v>
      </c>
      <c r="V40" s="19" t="str">
        <f>IF(ISBLANK(Inputs_B!H30),"default: trend held","user")</f>
        <v>default: trend held</v>
      </c>
    </row>
    <row r="41" spans="1:22" x14ac:dyDescent="0.3">
      <c r="A41" s="18" t="s">
        <v>100</v>
      </c>
      <c r="B41" s="19" t="str">
        <f>IF(A41&lt;=Settings!$B$7,"Forecast","Beyond horizon")</f>
        <v>Beyond horizon</v>
      </c>
      <c r="C41" s="19">
        <f>IF(ISBLANK(Inputs_B!C31),C40,Inputs_B!C31)</f>
        <v>104.43333333333329</v>
      </c>
      <c r="D41" s="19">
        <f t="shared" si="0"/>
        <v>0</v>
      </c>
      <c r="E41" s="19">
        <f>Aux_Models!$B$6+Aux_Models!$B$7*D41</f>
        <v>1.8686902423038689</v>
      </c>
      <c r="F41" s="19">
        <f>IF(ISBLANK(Inputs_B!D31),E41,100*LN(1+Inputs_B!D31/100))</f>
        <v>1.8686902423038689</v>
      </c>
      <c r="G41" s="19" t="str">
        <f>IF(ISBLANK(Inputs_B!E31),"wage-linked",100*LN(1+Inputs_B!E31/100))</f>
        <v>wage-linked</v>
      </c>
      <c r="H41" s="19">
        <f>IF(ISBLANK(Inputs_B!F31),Aux_Models!$B$8+Aux_Models!$B$9*H40,Inputs_B!F31)</f>
        <v>0.22038440812256635</v>
      </c>
      <c r="I41" s="19">
        <f t="shared" si="1"/>
        <v>0.24257369843060134</v>
      </c>
      <c r="J41" s="19">
        <f>IF(ISBLANK(Inputs_B!G31),J40,Inputs_B!G31)</f>
        <v>1.0243409571048041</v>
      </c>
      <c r="K41" s="19">
        <f>IF(ISBLANK(Inputs_B!H31),K33,100*LN(1+Inputs_B!H31/100))</f>
        <v>4.1032675335949049</v>
      </c>
      <c r="L41" s="19">
        <f t="shared" si="2"/>
        <v>2.1394115677182475</v>
      </c>
      <c r="M41" s="19">
        <f>IF(ISBLANK(Inputs_B!I31),0,Inputs_B!I31)</f>
        <v>0</v>
      </c>
      <c r="N41" s="19">
        <f>IF(ISBLANK(Inputs_B!J31),0,Inputs_B!J31)</f>
        <v>0</v>
      </c>
      <c r="O41" s="19">
        <f>IF(ISBLANK(Inputs_B!K31),0,Inputs_B!K31)</f>
        <v>0</v>
      </c>
      <c r="P41" s="19">
        <f>IF(ISBLANK(Inputs_B!L31),0,Inputs_B!L31)</f>
        <v>0</v>
      </c>
      <c r="Q41" s="19" t="str">
        <f>IF(ISBLANK(Inputs_B!C31),"default: carried forward","user")</f>
        <v>default: carried forward</v>
      </c>
      <c r="R41" s="19" t="str">
        <f>IF(NOT(ISBLANK(Inputs_B!D31)),"user (CPI energy override)",IF(ISBLANK(Inputs_B!C31),"oil bridge, Brent default","oil bridge, Brent user"))</f>
        <v>oil bridge, Brent default</v>
      </c>
      <c r="S41" s="19" t="str">
        <f>IF(ISBLANK(Inputs_B!E31),"default: wage-linked","user")</f>
        <v>default: wage-linked</v>
      </c>
      <c r="T41" s="19" t="str">
        <f>IF(ISBLANK(Inputs_B!F31),"default: AR(1)","user")</f>
        <v>default: AR(1)</v>
      </c>
      <c r="U41" s="19" t="str">
        <f>IF(ISBLANK(Inputs_B!G31),"default: carried forward","user")</f>
        <v>default: carried forward</v>
      </c>
      <c r="V41" s="19" t="str">
        <f>IF(ISBLANK(Inputs_B!H31),"default: trend held","user")</f>
        <v>default: trend held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30" customWidth="1"/>
    <col min="3" max="3" width="24" customWidth="1"/>
    <col min="4" max="4" width="26" customWidth="1"/>
    <col min="5" max="5" width="30" customWidth="1"/>
    <col min="6" max="6" width="60" customWidth="1"/>
    <col min="7" max="7" width="42" customWidth="1"/>
    <col min="8" max="8" width="44" customWidth="1"/>
    <col min="9" max="9" width="28" customWidth="1"/>
  </cols>
  <sheetData>
    <row r="1" spans="1:9" ht="18" x14ac:dyDescent="0.35">
      <c r="A1" s="1" t="s">
        <v>144</v>
      </c>
    </row>
    <row r="2" spans="1:9" x14ac:dyDescent="0.3">
      <c r="A2" s="8" t="s">
        <v>145</v>
      </c>
    </row>
    <row r="5" spans="1:9" x14ac:dyDescent="0.3">
      <c r="A5" s="10" t="s">
        <v>146</v>
      </c>
      <c r="B5" s="10" t="s">
        <v>147</v>
      </c>
      <c r="C5" s="10" t="s">
        <v>148</v>
      </c>
      <c r="D5" s="10" t="s">
        <v>149</v>
      </c>
      <c r="E5" s="10" t="s">
        <v>150</v>
      </c>
      <c r="F5" s="10" t="s">
        <v>151</v>
      </c>
      <c r="G5" s="10" t="s">
        <v>152</v>
      </c>
      <c r="H5" s="10" t="s">
        <v>153</v>
      </c>
      <c r="I5" s="10" t="s">
        <v>154</v>
      </c>
    </row>
    <row r="6" spans="1:9" ht="91.95" customHeight="1" x14ac:dyDescent="0.3">
      <c r="A6" s="14" t="s">
        <v>59</v>
      </c>
      <c r="B6" s="14" t="s">
        <v>155</v>
      </c>
      <c r="C6" s="20" t="s">
        <v>156</v>
      </c>
      <c r="D6" s="14" t="s">
        <v>157</v>
      </c>
      <c r="E6" s="14" t="s">
        <v>158</v>
      </c>
      <c r="F6" s="14" t="s">
        <v>159</v>
      </c>
      <c r="G6" s="14" t="s">
        <v>160</v>
      </c>
      <c r="H6" s="14" t="s">
        <v>161</v>
      </c>
      <c r="I6" s="14" t="s">
        <v>162</v>
      </c>
    </row>
    <row r="7" spans="1:9" ht="91.95" customHeight="1" x14ac:dyDescent="0.3">
      <c r="A7" s="14" t="s">
        <v>163</v>
      </c>
      <c r="B7" s="14" t="s">
        <v>164</v>
      </c>
      <c r="C7" s="20" t="s">
        <v>165</v>
      </c>
      <c r="D7" s="14" t="s">
        <v>166</v>
      </c>
      <c r="E7" s="14" t="s">
        <v>167</v>
      </c>
      <c r="F7" s="14" t="s">
        <v>168</v>
      </c>
      <c r="G7" s="14" t="s">
        <v>169</v>
      </c>
      <c r="H7" s="14" t="s">
        <v>170</v>
      </c>
      <c r="I7" s="14" t="s">
        <v>171</v>
      </c>
    </row>
    <row r="8" spans="1:9" ht="91.95" customHeight="1" x14ac:dyDescent="0.3">
      <c r="A8" s="14" t="s">
        <v>61</v>
      </c>
      <c r="B8" s="14" t="s">
        <v>172</v>
      </c>
      <c r="C8" s="20" t="s">
        <v>156</v>
      </c>
      <c r="D8" s="14" t="s">
        <v>166</v>
      </c>
      <c r="E8" s="14" t="s">
        <v>173</v>
      </c>
      <c r="F8" s="14" t="s">
        <v>174</v>
      </c>
      <c r="G8" s="14" t="s">
        <v>175</v>
      </c>
      <c r="H8" s="14" t="s">
        <v>176</v>
      </c>
      <c r="I8" s="14" t="s">
        <v>177</v>
      </c>
    </row>
    <row r="9" spans="1:9" ht="91.95" customHeight="1" x14ac:dyDescent="0.3">
      <c r="A9" s="14" t="s">
        <v>62</v>
      </c>
      <c r="B9" s="14" t="s">
        <v>178</v>
      </c>
      <c r="C9" s="20" t="s">
        <v>156</v>
      </c>
      <c r="D9" s="14" t="s">
        <v>179</v>
      </c>
      <c r="E9" s="14" t="s">
        <v>180</v>
      </c>
      <c r="F9" s="14" t="s">
        <v>181</v>
      </c>
      <c r="G9" s="14" t="s">
        <v>182</v>
      </c>
      <c r="H9" s="14" t="s">
        <v>183</v>
      </c>
      <c r="I9" s="14" t="s">
        <v>184</v>
      </c>
    </row>
    <row r="10" spans="1:9" ht="91.95" customHeight="1" x14ac:dyDescent="0.3">
      <c r="A10" s="14" t="s">
        <v>63</v>
      </c>
      <c r="B10" s="14" t="s">
        <v>51</v>
      </c>
      <c r="C10" s="20" t="s">
        <v>185</v>
      </c>
      <c r="D10" s="14" t="s">
        <v>186</v>
      </c>
      <c r="E10" s="14" t="s">
        <v>187</v>
      </c>
      <c r="F10" s="14" t="s">
        <v>188</v>
      </c>
      <c r="G10" s="14" t="s">
        <v>189</v>
      </c>
      <c r="H10" s="14" t="s">
        <v>190</v>
      </c>
      <c r="I10" s="14" t="s">
        <v>191</v>
      </c>
    </row>
    <row r="11" spans="1:9" ht="91.95" customHeight="1" x14ac:dyDescent="0.3">
      <c r="A11" s="14" t="s">
        <v>192</v>
      </c>
      <c r="B11" s="14" t="s">
        <v>193</v>
      </c>
      <c r="C11" s="20" t="s">
        <v>156</v>
      </c>
      <c r="D11" s="14" t="s">
        <v>166</v>
      </c>
      <c r="E11" s="14" t="s">
        <v>194</v>
      </c>
      <c r="F11" s="14" t="s">
        <v>195</v>
      </c>
      <c r="G11" s="14" t="s">
        <v>196</v>
      </c>
      <c r="H11" s="14" t="s">
        <v>197</v>
      </c>
      <c r="I11" s="14" t="s">
        <v>198</v>
      </c>
    </row>
    <row r="12" spans="1:9" ht="91.95" customHeight="1" x14ac:dyDescent="0.3">
      <c r="A12" s="14" t="s">
        <v>199</v>
      </c>
      <c r="B12" s="14" t="s">
        <v>200</v>
      </c>
      <c r="C12" s="20" t="s">
        <v>201</v>
      </c>
      <c r="D12" s="14" t="s">
        <v>202</v>
      </c>
      <c r="E12" s="14" t="s">
        <v>203</v>
      </c>
      <c r="F12" s="14" t="s">
        <v>204</v>
      </c>
      <c r="G12" s="14" t="s">
        <v>205</v>
      </c>
      <c r="H12" s="14" t="s">
        <v>206</v>
      </c>
      <c r="I12" s="14" t="s">
        <v>207</v>
      </c>
    </row>
    <row r="13" spans="1:9" ht="91.95" customHeight="1" x14ac:dyDescent="0.3">
      <c r="A13" s="14" t="s">
        <v>208</v>
      </c>
      <c r="B13" s="14" t="s">
        <v>209</v>
      </c>
      <c r="C13" s="21" t="s">
        <v>210</v>
      </c>
      <c r="D13" s="14" t="s">
        <v>211</v>
      </c>
      <c r="E13" s="14" t="s">
        <v>212</v>
      </c>
      <c r="F13" s="14" t="s">
        <v>213</v>
      </c>
      <c r="G13" s="14" t="s">
        <v>214</v>
      </c>
      <c r="H13" s="14" t="s">
        <v>215</v>
      </c>
      <c r="I13" s="14" t="s">
        <v>216</v>
      </c>
    </row>
    <row r="14" spans="1:9" ht="91.95" customHeight="1" x14ac:dyDescent="0.3">
      <c r="A14" s="14" t="s">
        <v>217</v>
      </c>
      <c r="B14" s="14" t="s">
        <v>218</v>
      </c>
      <c r="C14" s="21" t="s">
        <v>219</v>
      </c>
      <c r="D14" s="14" t="s">
        <v>211</v>
      </c>
      <c r="E14" s="14" t="s">
        <v>220</v>
      </c>
      <c r="F14" s="14" t="s">
        <v>221</v>
      </c>
      <c r="G14" s="14" t="s">
        <v>222</v>
      </c>
      <c r="H14" s="14" t="s">
        <v>223</v>
      </c>
      <c r="I14" s="14" t="s">
        <v>224</v>
      </c>
    </row>
    <row r="15" spans="1:9" ht="91.95" customHeight="1" x14ac:dyDescent="0.3">
      <c r="A15" s="14" t="s">
        <v>225</v>
      </c>
      <c r="B15" s="14" t="s">
        <v>226</v>
      </c>
      <c r="C15" s="21" t="s">
        <v>219</v>
      </c>
      <c r="D15" s="14" t="s">
        <v>211</v>
      </c>
      <c r="E15" s="14" t="s">
        <v>227</v>
      </c>
      <c r="F15" s="14" t="s">
        <v>228</v>
      </c>
      <c r="G15" s="14" t="s">
        <v>229</v>
      </c>
      <c r="H15" s="14" t="s">
        <v>205</v>
      </c>
      <c r="I15" s="14" t="s">
        <v>211</v>
      </c>
    </row>
    <row r="16" spans="1:9" ht="91.95" customHeight="1" x14ac:dyDescent="0.3">
      <c r="A16" s="14" t="s">
        <v>230</v>
      </c>
      <c r="B16" s="14" t="s">
        <v>231</v>
      </c>
      <c r="C16" s="22" t="s">
        <v>232</v>
      </c>
      <c r="D16" s="14" t="s">
        <v>233</v>
      </c>
      <c r="E16" s="14" t="s">
        <v>211</v>
      </c>
      <c r="F16" s="14" t="s">
        <v>234</v>
      </c>
      <c r="G16" s="14" t="s">
        <v>235</v>
      </c>
      <c r="H16" s="14" t="s">
        <v>211</v>
      </c>
      <c r="I16" s="14" t="s">
        <v>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1" width="14" customWidth="1"/>
  </cols>
  <sheetData>
    <row r="1" spans="1:21" ht="18" x14ac:dyDescent="0.35">
      <c r="A1" s="1" t="s">
        <v>236</v>
      </c>
    </row>
    <row r="2" spans="1:21" x14ac:dyDescent="0.3">
      <c r="A2" s="8" t="s">
        <v>237</v>
      </c>
    </row>
    <row r="5" spans="1:21" x14ac:dyDescent="0.3">
      <c r="A5" s="9" t="s">
        <v>27</v>
      </c>
      <c r="B5" s="9" t="s">
        <v>47</v>
      </c>
      <c r="C5" s="9" t="s">
        <v>238</v>
      </c>
      <c r="D5" s="9" t="s">
        <v>239</v>
      </c>
      <c r="E5" s="9" t="s">
        <v>240</v>
      </c>
      <c r="F5" s="9" t="s">
        <v>241</v>
      </c>
      <c r="G5" s="9" t="s">
        <v>242</v>
      </c>
      <c r="H5" s="9" t="s">
        <v>50</v>
      </c>
      <c r="I5" s="9" t="s">
        <v>51</v>
      </c>
      <c r="J5" s="9" t="s">
        <v>243</v>
      </c>
      <c r="K5" s="9" t="s">
        <v>244</v>
      </c>
    </row>
    <row r="6" spans="1:21" ht="48" customHeight="1" x14ac:dyDescent="0.3">
      <c r="A6" s="10" t="s">
        <v>57</v>
      </c>
      <c r="B6" s="10" t="s">
        <v>59</v>
      </c>
      <c r="C6" s="10" t="s">
        <v>245</v>
      </c>
      <c r="D6" s="10" t="s">
        <v>246</v>
      </c>
      <c r="E6" s="10" t="s">
        <v>247</v>
      </c>
      <c r="F6" s="10" t="s">
        <v>248</v>
      </c>
      <c r="G6" s="10" t="s">
        <v>249</v>
      </c>
      <c r="H6" s="10" t="s">
        <v>250</v>
      </c>
      <c r="I6" s="10" t="s">
        <v>251</v>
      </c>
      <c r="J6" s="10" t="s">
        <v>252</v>
      </c>
      <c r="K6" s="10" t="s">
        <v>253</v>
      </c>
      <c r="L6" s="10" t="s">
        <v>254</v>
      </c>
      <c r="M6" s="10" t="s">
        <v>255</v>
      </c>
      <c r="N6" s="10" t="s">
        <v>256</v>
      </c>
      <c r="O6" s="10" t="s">
        <v>257</v>
      </c>
      <c r="P6" s="10" t="s">
        <v>258</v>
      </c>
      <c r="Q6" s="10" t="s">
        <v>259</v>
      </c>
      <c r="R6" s="10" t="s">
        <v>260</v>
      </c>
      <c r="S6" s="10" t="s">
        <v>261</v>
      </c>
      <c r="T6" s="10" t="s">
        <v>262</v>
      </c>
      <c r="U6" s="10" t="s">
        <v>263</v>
      </c>
    </row>
    <row r="7" spans="1:21" ht="30" customHeight="1" x14ac:dyDescent="0.3">
      <c r="A7" s="15" t="s">
        <v>264</v>
      </c>
      <c r="B7" s="15" t="s">
        <v>265</v>
      </c>
      <c r="C7" s="15" t="s">
        <v>266</v>
      </c>
      <c r="D7" s="15" t="s">
        <v>266</v>
      </c>
      <c r="E7" s="15" t="s">
        <v>266</v>
      </c>
      <c r="F7" s="15" t="s">
        <v>267</v>
      </c>
      <c r="G7" s="15" t="s">
        <v>267</v>
      </c>
      <c r="H7" s="15" t="s">
        <v>73</v>
      </c>
      <c r="I7" s="15" t="s">
        <v>130</v>
      </c>
      <c r="J7" s="15" t="s">
        <v>268</v>
      </c>
      <c r="K7" s="15" t="s">
        <v>268</v>
      </c>
      <c r="L7" s="15" t="s">
        <v>269</v>
      </c>
      <c r="M7" s="15" t="s">
        <v>269</v>
      </c>
      <c r="N7" s="15" t="s">
        <v>269</v>
      </c>
      <c r="O7" s="15" t="s">
        <v>269</v>
      </c>
      <c r="P7" s="15" t="s">
        <v>270</v>
      </c>
      <c r="Q7" s="15" t="s">
        <v>271</v>
      </c>
      <c r="R7" s="15" t="s">
        <v>269</v>
      </c>
      <c r="S7" s="15" t="s">
        <v>272</v>
      </c>
      <c r="T7" s="15" t="s">
        <v>273</v>
      </c>
      <c r="U7" s="15" t="s">
        <v>274</v>
      </c>
    </row>
    <row r="8" spans="1:21" x14ac:dyDescent="0.3">
      <c r="A8" s="13" t="s">
        <v>275</v>
      </c>
      <c r="B8" s="23">
        <v>63.266666666666673</v>
      </c>
      <c r="C8" s="24">
        <v>254.27699999999999</v>
      </c>
      <c r="D8" s="24">
        <v>214.934</v>
      </c>
      <c r="E8" s="24">
        <v>257.68099999999998</v>
      </c>
      <c r="F8" s="24">
        <v>135.80000000000001</v>
      </c>
      <c r="G8" s="24">
        <v>102.34</v>
      </c>
      <c r="H8" s="23">
        <v>0.2500546666666667</v>
      </c>
      <c r="I8" s="23">
        <v>1.1632913410939241</v>
      </c>
      <c r="J8" s="23">
        <v>1.37532428869324</v>
      </c>
      <c r="K8" s="23">
        <v>1.6920777062280501</v>
      </c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 x14ac:dyDescent="0.3">
      <c r="A9" s="13" t="s">
        <v>276</v>
      </c>
      <c r="B9" s="23">
        <v>68.333333333333329</v>
      </c>
      <c r="C9" s="24">
        <v>255.21299999999999</v>
      </c>
      <c r="D9" s="24">
        <v>214.92599999999999</v>
      </c>
      <c r="E9" s="24">
        <v>257.952</v>
      </c>
      <c r="F9" s="24">
        <v>136.80000000000001</v>
      </c>
      <c r="G9" s="24">
        <v>102.971</v>
      </c>
      <c r="H9" s="23">
        <v>-0.37764599999999998</v>
      </c>
      <c r="I9" s="23">
        <v>1.21962302255133</v>
      </c>
      <c r="J9" s="23">
        <v>1.6091404499008799</v>
      </c>
      <c r="K9" s="23">
        <v>1.6370534180984799</v>
      </c>
      <c r="L9" s="19">
        <f t="shared" ref="L9:L25" si="0">400*LN(C9/C8)</f>
        <v>1.4697066525633151</v>
      </c>
      <c r="M9" s="19">
        <f t="shared" ref="M9:M25" si="1">400*LN(F9/F8)</f>
        <v>2.9347160255417233</v>
      </c>
      <c r="N9" s="19">
        <f t="shared" ref="N9:N25" si="2">400*LN(D9/D8)</f>
        <v>-1.4888568372814015E-2</v>
      </c>
      <c r="O9" s="19">
        <f t="shared" ref="O9:O25" si="3">400*LN(E9/E8)</f>
        <v>0.42045412136464139</v>
      </c>
      <c r="P9" s="19">
        <f t="shared" ref="P9:P25" si="4">400*LN((D9/F9)/(D8/F8))</f>
        <v>-2.9496045939145374</v>
      </c>
      <c r="Q9" s="19">
        <f t="shared" ref="Q9:Q25" si="5">400*LN((E9/F9)/(E8/F8))</f>
        <v>-2.5142619041771344</v>
      </c>
      <c r="R9" s="19">
        <f t="shared" ref="R9:R25" si="6">400*LN(G9/G8)</f>
        <v>2.4587167244129846</v>
      </c>
      <c r="S9" s="19"/>
      <c r="T9" s="19">
        <f t="shared" ref="T9:T25" si="7">AVERAGE(H8:H9)</f>
        <v>-6.3795666666666639E-2</v>
      </c>
      <c r="U9" s="19"/>
    </row>
    <row r="10" spans="1:21" x14ac:dyDescent="0.3">
      <c r="A10" s="13" t="s">
        <v>277</v>
      </c>
      <c r="B10" s="23">
        <v>61.866666666666667</v>
      </c>
      <c r="C10" s="24">
        <v>256.43</v>
      </c>
      <c r="D10" s="24">
        <v>213.01499999999999</v>
      </c>
      <c r="E10" s="24">
        <v>258.86500000000001</v>
      </c>
      <c r="F10" s="24">
        <v>137.9</v>
      </c>
      <c r="G10" s="24">
        <v>104.129</v>
      </c>
      <c r="H10" s="23">
        <v>-0.2333793333333333</v>
      </c>
      <c r="I10" s="23">
        <v>1.2018694746325811</v>
      </c>
      <c r="J10" s="23">
        <v>1.6449279427019401</v>
      </c>
      <c r="K10" s="23">
        <v>1.5604484534529699</v>
      </c>
      <c r="L10" s="19">
        <f t="shared" si="0"/>
        <v>1.9028929080409036</v>
      </c>
      <c r="M10" s="19">
        <f t="shared" si="1"/>
        <v>3.2035118443224189</v>
      </c>
      <c r="N10" s="19">
        <f t="shared" si="2"/>
        <v>-3.572478828181215</v>
      </c>
      <c r="O10" s="19">
        <f t="shared" si="3"/>
        <v>1.4132676746619623</v>
      </c>
      <c r="P10" s="19">
        <f t="shared" si="4"/>
        <v>-6.7759906725036583</v>
      </c>
      <c r="Q10" s="19">
        <f t="shared" si="5"/>
        <v>-1.7902441696604261</v>
      </c>
      <c r="R10" s="19">
        <f t="shared" si="6"/>
        <v>4.4732479709295321</v>
      </c>
      <c r="S10" s="19"/>
      <c r="T10" s="19">
        <f t="shared" si="7"/>
        <v>-0.30551266666666665</v>
      </c>
      <c r="U10" s="19"/>
    </row>
    <row r="11" spans="1:21" x14ac:dyDescent="0.3">
      <c r="A11" s="13" t="s">
        <v>278</v>
      </c>
      <c r="B11" s="23">
        <v>62.666666666666657</v>
      </c>
      <c r="C11" s="24">
        <v>258.63</v>
      </c>
      <c r="D11" s="24">
        <v>221.18</v>
      </c>
      <c r="E11" s="24">
        <v>260.483</v>
      </c>
      <c r="F11" s="24">
        <v>138.9</v>
      </c>
      <c r="G11" s="24">
        <v>105.10299999999999</v>
      </c>
      <c r="H11" s="23">
        <v>2.5855E-2</v>
      </c>
      <c r="I11" s="23">
        <v>1.186675761709868</v>
      </c>
      <c r="J11" s="23">
        <v>1.7037844245400899</v>
      </c>
      <c r="K11" s="23">
        <v>1.7145255044177199</v>
      </c>
      <c r="L11" s="19">
        <f t="shared" si="0"/>
        <v>3.4170984031019245</v>
      </c>
      <c r="M11" s="19">
        <f t="shared" si="1"/>
        <v>2.8901859844167777</v>
      </c>
      <c r="N11" s="19">
        <f t="shared" si="2"/>
        <v>15.045705552851219</v>
      </c>
      <c r="O11" s="19">
        <f t="shared" si="3"/>
        <v>2.4923638636100085</v>
      </c>
      <c r="P11" s="19">
        <f t="shared" si="4"/>
        <v>12.155519568434427</v>
      </c>
      <c r="Q11" s="19">
        <f t="shared" si="5"/>
        <v>-0.39782212080676765</v>
      </c>
      <c r="R11" s="19">
        <f t="shared" si="6"/>
        <v>3.7241226415207489</v>
      </c>
      <c r="S11" s="19"/>
      <c r="T11" s="19">
        <f t="shared" si="7"/>
        <v>-0.10376216666666666</v>
      </c>
      <c r="U11" s="19"/>
    </row>
    <row r="12" spans="1:21" x14ac:dyDescent="0.3">
      <c r="A12" s="13" t="s">
        <v>279</v>
      </c>
      <c r="B12" s="23">
        <v>50.533333333333331</v>
      </c>
      <c r="C12" s="24">
        <v>258.07600000000002</v>
      </c>
      <c r="D12" s="24">
        <v>201.68100000000001</v>
      </c>
      <c r="E12" s="24">
        <v>262.62200000000001</v>
      </c>
      <c r="F12" s="24">
        <v>140.30000000000001</v>
      </c>
      <c r="G12" s="24">
        <v>104.679</v>
      </c>
      <c r="H12" s="23">
        <v>1.2741266666666671</v>
      </c>
      <c r="I12" s="23">
        <v>1.0613979179944759</v>
      </c>
      <c r="J12" s="23">
        <v>0.987073923438197</v>
      </c>
      <c r="K12" s="23">
        <v>1.2697751663956101</v>
      </c>
      <c r="L12" s="19">
        <f t="shared" si="0"/>
        <v>-0.85774148128483341</v>
      </c>
      <c r="M12" s="19">
        <f t="shared" si="1"/>
        <v>4.0114949392468642</v>
      </c>
      <c r="N12" s="19">
        <f t="shared" si="2"/>
        <v>-36.915843371992366</v>
      </c>
      <c r="O12" s="19">
        <f t="shared" si="3"/>
        <v>3.2712544084831681</v>
      </c>
      <c r="P12" s="19">
        <f t="shared" si="4"/>
        <v>-40.927338311239247</v>
      </c>
      <c r="Q12" s="19">
        <f t="shared" si="5"/>
        <v>-0.74024053076375529</v>
      </c>
      <c r="R12" s="19">
        <f t="shared" si="6"/>
        <v>-1.6169188103930194</v>
      </c>
      <c r="S12" s="19"/>
      <c r="T12" s="19">
        <f t="shared" si="7"/>
        <v>0.64999083333333352</v>
      </c>
      <c r="U12" s="19">
        <f t="shared" ref="U12:U25" si="8">AVERAGE(L9:L12)-J8</f>
        <v>0.10766483191208742</v>
      </c>
    </row>
    <row r="13" spans="1:21" x14ac:dyDescent="0.3">
      <c r="A13" s="13" t="s">
        <v>280</v>
      </c>
      <c r="B13" s="23">
        <v>31.4</v>
      </c>
      <c r="C13" s="24">
        <v>257.04199999999997</v>
      </c>
      <c r="D13" s="24">
        <v>188.73400000000001</v>
      </c>
      <c r="E13" s="24">
        <v>269.553</v>
      </c>
      <c r="F13" s="24">
        <v>140.80000000000001</v>
      </c>
      <c r="G13" s="24">
        <v>109.77200000000001</v>
      </c>
      <c r="H13" s="23">
        <v>2.7669693333333329</v>
      </c>
      <c r="I13" s="23">
        <v>0.26509365117976158</v>
      </c>
      <c r="J13" s="23">
        <v>0.51275711146623604</v>
      </c>
      <c r="K13" s="23">
        <v>1.23186673086437</v>
      </c>
      <c r="L13" s="19">
        <f t="shared" si="0"/>
        <v>-1.605847807706184</v>
      </c>
      <c r="M13" s="19">
        <f t="shared" si="1"/>
        <v>1.4229826462107289</v>
      </c>
      <c r="N13" s="19">
        <f t="shared" si="2"/>
        <v>-26.539449957218931</v>
      </c>
      <c r="O13" s="19">
        <f t="shared" si="3"/>
        <v>10.419718211284286</v>
      </c>
      <c r="P13" s="19">
        <f t="shared" si="4"/>
        <v>-27.962432603429704</v>
      </c>
      <c r="Q13" s="19">
        <f t="shared" si="5"/>
        <v>8.996735565073589</v>
      </c>
      <c r="R13" s="19">
        <f t="shared" si="6"/>
        <v>19.002785101795915</v>
      </c>
      <c r="S13" s="19"/>
      <c r="T13" s="19">
        <f t="shared" si="7"/>
        <v>2.0205479999999998</v>
      </c>
      <c r="U13" s="19">
        <f t="shared" si="8"/>
        <v>-0.89503994436292722</v>
      </c>
    </row>
    <row r="14" spans="1:21" x14ac:dyDescent="0.3">
      <c r="A14" s="13" t="s">
        <v>281</v>
      </c>
      <c r="B14" s="23">
        <v>42.733333333333327</v>
      </c>
      <c r="C14" s="24">
        <v>259.99700000000001</v>
      </c>
      <c r="D14" s="24">
        <v>196.70500000000001</v>
      </c>
      <c r="E14" s="24">
        <v>269.04300000000001</v>
      </c>
      <c r="F14" s="24">
        <v>141.6</v>
      </c>
      <c r="G14" s="24">
        <v>111.491</v>
      </c>
      <c r="H14" s="23">
        <v>1.565920666666667</v>
      </c>
      <c r="I14" s="23">
        <v>0.45955578634314442</v>
      </c>
      <c r="J14" s="23">
        <v>1.58276439684728</v>
      </c>
      <c r="K14" s="23">
        <v>1.35099922764618</v>
      </c>
      <c r="L14" s="19">
        <f t="shared" si="0"/>
        <v>4.5722387279819614</v>
      </c>
      <c r="M14" s="19">
        <f t="shared" si="1"/>
        <v>2.2662950142709199</v>
      </c>
      <c r="N14" s="19">
        <f t="shared" si="2"/>
        <v>16.546611267278813</v>
      </c>
      <c r="O14" s="19">
        <f t="shared" si="3"/>
        <v>-0.75752534727695597</v>
      </c>
      <c r="P14" s="19">
        <f t="shared" si="4"/>
        <v>14.28031625300793</v>
      </c>
      <c r="Q14" s="19">
        <f t="shared" si="5"/>
        <v>-3.0238203615478123</v>
      </c>
      <c r="R14" s="19">
        <f t="shared" si="6"/>
        <v>6.2153530823766001</v>
      </c>
      <c r="S14" s="19"/>
      <c r="T14" s="19">
        <f t="shared" si="7"/>
        <v>2.166445</v>
      </c>
      <c r="U14" s="19">
        <f t="shared" si="8"/>
        <v>-0.2634909821787228</v>
      </c>
    </row>
    <row r="15" spans="1:21" x14ac:dyDescent="0.3">
      <c r="A15" s="13" t="s">
        <v>282</v>
      </c>
      <c r="B15" s="23">
        <v>44.533333333333331</v>
      </c>
      <c r="C15" s="24">
        <v>262.04500000000002</v>
      </c>
      <c r="D15" s="24">
        <v>205.67</v>
      </c>
      <c r="E15" s="24">
        <v>270.78100000000001</v>
      </c>
      <c r="F15" s="24">
        <v>142.80000000000001</v>
      </c>
      <c r="G15" s="24">
        <v>110.599</v>
      </c>
      <c r="H15" s="23">
        <v>0.80153000000000008</v>
      </c>
      <c r="I15" s="23">
        <v>0.62672117039586916</v>
      </c>
      <c r="J15" s="23">
        <v>1.6495212949031</v>
      </c>
      <c r="K15" s="23">
        <v>1.4171703809615801</v>
      </c>
      <c r="L15" s="19">
        <f t="shared" si="0"/>
        <v>3.1384609002164479</v>
      </c>
      <c r="M15" s="19">
        <f t="shared" si="1"/>
        <v>3.3755474583459297</v>
      </c>
      <c r="N15" s="19">
        <f t="shared" si="2"/>
        <v>17.827119227594206</v>
      </c>
      <c r="O15" s="19">
        <f t="shared" si="3"/>
        <v>2.575663186794118</v>
      </c>
      <c r="P15" s="19">
        <f t="shared" si="4"/>
        <v>14.451571769248343</v>
      </c>
      <c r="Q15" s="19">
        <f t="shared" si="5"/>
        <v>-0.79988427155187025</v>
      </c>
      <c r="R15" s="19">
        <f t="shared" si="6"/>
        <v>-3.2131290790053688</v>
      </c>
      <c r="S15" s="19"/>
      <c r="T15" s="19">
        <f t="shared" si="7"/>
        <v>1.1837253333333335</v>
      </c>
      <c r="U15" s="19">
        <f t="shared" si="8"/>
        <v>-0.39200683973824191</v>
      </c>
    </row>
    <row r="16" spans="1:21" x14ac:dyDescent="0.3">
      <c r="A16" s="13" t="s">
        <v>132</v>
      </c>
      <c r="B16" s="23">
        <v>60.6</v>
      </c>
      <c r="C16" s="24">
        <v>264.96100000000001</v>
      </c>
      <c r="D16" s="24">
        <v>229.61699999999999</v>
      </c>
      <c r="E16" s="24">
        <v>271.63600000000002</v>
      </c>
      <c r="F16" s="24">
        <v>144.5</v>
      </c>
      <c r="G16" s="24">
        <v>111.39400000000001</v>
      </c>
      <c r="H16" s="23">
        <v>1.9166773333333329</v>
      </c>
      <c r="I16" s="23">
        <v>0.78176069229489098</v>
      </c>
      <c r="J16" s="23">
        <v>1.5138380886214</v>
      </c>
      <c r="K16" s="23">
        <v>1.4974035979129501</v>
      </c>
      <c r="L16" s="19">
        <f t="shared" si="0"/>
        <v>4.4265602425600905</v>
      </c>
      <c r="M16" s="19">
        <f t="shared" si="1"/>
        <v>4.7337830588011194</v>
      </c>
      <c r="N16" s="19">
        <f t="shared" si="2"/>
        <v>44.055904381972042</v>
      </c>
      <c r="O16" s="19">
        <f t="shared" si="3"/>
        <v>1.261023468109655</v>
      </c>
      <c r="P16" s="19">
        <f t="shared" si="4"/>
        <v>39.32212132317094</v>
      </c>
      <c r="Q16" s="19">
        <f t="shared" si="5"/>
        <v>-3.4727595906914974</v>
      </c>
      <c r="R16" s="19">
        <f t="shared" si="6"/>
        <v>2.8649674490205648</v>
      </c>
      <c r="S16" s="19">
        <f t="shared" ref="S16:S25" si="9">AVERAGE(R9:R16)</f>
        <v>4.2386431350822438</v>
      </c>
      <c r="T16" s="19">
        <f t="shared" si="7"/>
        <v>1.3591036666666665</v>
      </c>
      <c r="U16" s="19">
        <f t="shared" si="8"/>
        <v>1.6457790923248816</v>
      </c>
    </row>
    <row r="17" spans="1:21" x14ac:dyDescent="0.3">
      <c r="A17" s="13" t="s">
        <v>134</v>
      </c>
      <c r="B17" s="23">
        <v>68.633333333333326</v>
      </c>
      <c r="C17" s="24">
        <v>270.654</v>
      </c>
      <c r="D17" s="24">
        <v>233.60300000000001</v>
      </c>
      <c r="E17" s="24">
        <v>275.99700000000001</v>
      </c>
      <c r="F17" s="24">
        <v>145.80000000000001</v>
      </c>
      <c r="G17" s="24">
        <v>111.626</v>
      </c>
      <c r="H17" s="23">
        <v>2.8931446666666671</v>
      </c>
      <c r="I17" s="23">
        <v>1.039445516757326</v>
      </c>
      <c r="J17" s="23">
        <v>2.0551885900125799</v>
      </c>
      <c r="K17" s="23">
        <v>1.5962885078264799</v>
      </c>
      <c r="L17" s="19">
        <f t="shared" si="0"/>
        <v>8.5034428098350077</v>
      </c>
      <c r="M17" s="19">
        <f t="shared" si="1"/>
        <v>3.5825248088284236</v>
      </c>
      <c r="N17" s="19">
        <f t="shared" si="2"/>
        <v>6.8841559284253533</v>
      </c>
      <c r="O17" s="19">
        <f t="shared" si="3"/>
        <v>6.3708245310010989</v>
      </c>
      <c r="P17" s="19">
        <f t="shared" si="4"/>
        <v>3.3016311195969288</v>
      </c>
      <c r="Q17" s="19">
        <f t="shared" si="5"/>
        <v>2.7882997221726926</v>
      </c>
      <c r="R17" s="19">
        <f t="shared" si="6"/>
        <v>0.83221265782977105</v>
      </c>
      <c r="S17" s="19">
        <f t="shared" si="9"/>
        <v>4.0353301267593427</v>
      </c>
      <c r="T17" s="19">
        <f t="shared" si="7"/>
        <v>2.4049110000000002</v>
      </c>
      <c r="U17" s="19">
        <f t="shared" si="8"/>
        <v>4.6474185586821406</v>
      </c>
    </row>
    <row r="18" spans="1:21" x14ac:dyDescent="0.3">
      <c r="A18" s="13" t="s">
        <v>135</v>
      </c>
      <c r="B18" s="23">
        <v>73</v>
      </c>
      <c r="C18" s="24">
        <v>273.91000000000003</v>
      </c>
      <c r="D18" s="24">
        <v>245.30199999999999</v>
      </c>
      <c r="E18" s="24">
        <v>281.36599999999999</v>
      </c>
      <c r="F18" s="24">
        <v>148</v>
      </c>
      <c r="G18" s="24">
        <v>110.94799999999999</v>
      </c>
      <c r="H18" s="23">
        <v>3.2483949999999999</v>
      </c>
      <c r="I18" s="23">
        <v>1.328281186509549</v>
      </c>
      <c r="J18" s="23">
        <v>2.68413712564137</v>
      </c>
      <c r="K18" s="23">
        <v>1.6427859188984399</v>
      </c>
      <c r="L18" s="19">
        <f t="shared" si="0"/>
        <v>4.783333163473956</v>
      </c>
      <c r="M18" s="19">
        <f t="shared" si="1"/>
        <v>5.990581675822904</v>
      </c>
      <c r="N18" s="19">
        <f t="shared" si="2"/>
        <v>19.54680447021595</v>
      </c>
      <c r="O18" s="19">
        <f t="shared" si="3"/>
        <v>7.7065267353542755</v>
      </c>
      <c r="P18" s="19">
        <f t="shared" si="4"/>
        <v>13.556222794393106</v>
      </c>
      <c r="Q18" s="19">
        <f t="shared" si="5"/>
        <v>1.7159450595313721</v>
      </c>
      <c r="R18" s="19">
        <f t="shared" si="6"/>
        <v>-2.4369498579738789</v>
      </c>
      <c r="S18" s="19">
        <f t="shared" si="9"/>
        <v>3.1715553981464164</v>
      </c>
      <c r="T18" s="19">
        <f t="shared" si="7"/>
        <v>3.0707698333333333</v>
      </c>
      <c r="U18" s="19">
        <f t="shared" si="8"/>
        <v>3.630184882174095</v>
      </c>
    </row>
    <row r="19" spans="1:21" x14ac:dyDescent="0.3">
      <c r="A19" s="13" t="s">
        <v>136</v>
      </c>
      <c r="B19" s="23">
        <v>79.600000000000009</v>
      </c>
      <c r="C19" s="24">
        <v>280.84500000000003</v>
      </c>
      <c r="D19" s="24">
        <v>267.899</v>
      </c>
      <c r="E19" s="24">
        <v>287.81200000000001</v>
      </c>
      <c r="F19" s="24">
        <v>149.9</v>
      </c>
      <c r="G19" s="24">
        <v>111.578</v>
      </c>
      <c r="H19" s="23">
        <v>4.2794146666666668</v>
      </c>
      <c r="I19" s="23">
        <v>1.6638247831838899</v>
      </c>
      <c r="J19" s="23">
        <v>2.62030861257744</v>
      </c>
      <c r="K19" s="23">
        <v>1.7589750606847701</v>
      </c>
      <c r="L19" s="19">
        <f t="shared" si="0"/>
        <v>10.001332177836517</v>
      </c>
      <c r="M19" s="19">
        <f t="shared" si="1"/>
        <v>5.1024525377748402</v>
      </c>
      <c r="N19" s="19">
        <f t="shared" si="2"/>
        <v>35.247975717839665</v>
      </c>
      <c r="O19" s="19">
        <f t="shared" si="3"/>
        <v>9.0604705098978844</v>
      </c>
      <c r="P19" s="19">
        <f t="shared" si="4"/>
        <v>30.14552318006487</v>
      </c>
      <c r="Q19" s="19">
        <f t="shared" si="5"/>
        <v>3.9580179721230695</v>
      </c>
      <c r="R19" s="19">
        <f t="shared" si="6"/>
        <v>2.2649099277219435</v>
      </c>
      <c r="S19" s="19">
        <f t="shared" si="9"/>
        <v>2.9891538089215657</v>
      </c>
      <c r="T19" s="19">
        <f t="shared" si="7"/>
        <v>3.7639048333333331</v>
      </c>
      <c r="U19" s="19">
        <f t="shared" si="8"/>
        <v>5.2791458035232921</v>
      </c>
    </row>
    <row r="20" spans="1:21" x14ac:dyDescent="0.3">
      <c r="A20" s="13" t="s">
        <v>137</v>
      </c>
      <c r="B20" s="23">
        <v>98.966666666666654</v>
      </c>
      <c r="C20" s="24">
        <v>287.67399999999998</v>
      </c>
      <c r="D20" s="24">
        <v>303.09899999999999</v>
      </c>
      <c r="E20" s="24">
        <v>295.54599999999999</v>
      </c>
      <c r="F20" s="24">
        <v>151.69999999999999</v>
      </c>
      <c r="G20" s="24">
        <v>110.176</v>
      </c>
      <c r="H20" s="23">
        <v>3.1419513333333331</v>
      </c>
      <c r="I20" s="23">
        <v>1.863994917676955</v>
      </c>
      <c r="J20" s="23">
        <v>3.0576988299021899</v>
      </c>
      <c r="K20" s="23">
        <v>1.9472164051004599</v>
      </c>
      <c r="L20" s="19">
        <f t="shared" si="0"/>
        <v>9.6099915345197662</v>
      </c>
      <c r="M20" s="19">
        <f t="shared" si="1"/>
        <v>4.7745924983737815</v>
      </c>
      <c r="N20" s="19">
        <f t="shared" si="2"/>
        <v>49.3797764038558</v>
      </c>
      <c r="O20" s="19">
        <f t="shared" si="3"/>
        <v>10.606801553526497</v>
      </c>
      <c r="P20" s="19">
        <f t="shared" si="4"/>
        <v>44.605183905482058</v>
      </c>
      <c r="Q20" s="19">
        <f t="shared" si="5"/>
        <v>5.8322090551527053</v>
      </c>
      <c r="R20" s="19">
        <f t="shared" si="6"/>
        <v>-5.0579242965686344</v>
      </c>
      <c r="S20" s="19">
        <f t="shared" si="9"/>
        <v>2.5590281231496146</v>
      </c>
      <c r="T20" s="19">
        <f t="shared" si="7"/>
        <v>3.710683</v>
      </c>
      <c r="U20" s="19">
        <f t="shared" si="8"/>
        <v>6.7106868327949112</v>
      </c>
    </row>
    <row r="21" spans="1:21" x14ac:dyDescent="0.3">
      <c r="A21" s="13" t="s">
        <v>138</v>
      </c>
      <c r="B21" s="23">
        <v>112.76666666666669</v>
      </c>
      <c r="C21" s="24">
        <v>294.95699999999999</v>
      </c>
      <c r="D21" s="24">
        <v>330.45600000000002</v>
      </c>
      <c r="E21" s="24">
        <v>304.834</v>
      </c>
      <c r="F21" s="24">
        <v>154</v>
      </c>
      <c r="G21" s="24">
        <v>109.36</v>
      </c>
      <c r="H21" s="23">
        <v>2.935063</v>
      </c>
      <c r="I21" s="23">
        <v>1.932085352944453</v>
      </c>
      <c r="J21" s="23">
        <v>4.2267133748399299</v>
      </c>
      <c r="K21" s="23">
        <v>2.4012638201730501</v>
      </c>
      <c r="L21" s="19">
        <f t="shared" si="0"/>
        <v>10.000675378005509</v>
      </c>
      <c r="M21" s="19">
        <f t="shared" si="1"/>
        <v>6.0190864236571073</v>
      </c>
      <c r="N21" s="19">
        <f t="shared" si="2"/>
        <v>34.565613597216213</v>
      </c>
      <c r="O21" s="19">
        <f t="shared" si="3"/>
        <v>12.377149223215502</v>
      </c>
      <c r="P21" s="19">
        <f t="shared" si="4"/>
        <v>28.546527173559177</v>
      </c>
      <c r="Q21" s="19">
        <f t="shared" si="5"/>
        <v>6.3580627995585086</v>
      </c>
      <c r="R21" s="19">
        <f t="shared" si="6"/>
        <v>-2.9735578961676499</v>
      </c>
      <c r="S21" s="19">
        <f t="shared" si="9"/>
        <v>-0.18801475159583148</v>
      </c>
      <c r="T21" s="19">
        <f t="shared" si="7"/>
        <v>3.0385071666666663</v>
      </c>
      <c r="U21" s="19">
        <f t="shared" si="8"/>
        <v>6.5436444734463564</v>
      </c>
    </row>
    <row r="22" spans="1:21" x14ac:dyDescent="0.3">
      <c r="A22" s="13" t="s">
        <v>139</v>
      </c>
      <c r="B22" s="23">
        <v>99.233333333333334</v>
      </c>
      <c r="C22" s="24">
        <v>296.34899999999999</v>
      </c>
      <c r="D22" s="24">
        <v>294.10300000000001</v>
      </c>
      <c r="E22" s="24">
        <v>312.90100000000001</v>
      </c>
      <c r="F22" s="24">
        <v>155.80000000000001</v>
      </c>
      <c r="G22" s="24">
        <v>109.423</v>
      </c>
      <c r="H22" s="23">
        <v>1.5306163333333329</v>
      </c>
      <c r="I22" s="23">
        <v>1.863192930104441</v>
      </c>
      <c r="J22" s="23">
        <v>4.1791496909556196</v>
      </c>
      <c r="K22" s="23">
        <v>2.3659892583078501</v>
      </c>
      <c r="L22" s="19">
        <f t="shared" si="0"/>
        <v>1.8832923344891801</v>
      </c>
      <c r="M22" s="19">
        <f t="shared" si="1"/>
        <v>4.6482124092075159</v>
      </c>
      <c r="N22" s="19">
        <f t="shared" si="2"/>
        <v>-46.617389076088308</v>
      </c>
      <c r="O22" s="19">
        <f t="shared" si="3"/>
        <v>10.447792172448651</v>
      </c>
      <c r="P22" s="19">
        <f t="shared" si="4"/>
        <v>-51.265601485295875</v>
      </c>
      <c r="Q22" s="19">
        <f t="shared" si="5"/>
        <v>5.7995797632411277</v>
      </c>
      <c r="R22" s="19">
        <f t="shared" si="6"/>
        <v>0.23036525412416628</v>
      </c>
      <c r="S22" s="19">
        <f t="shared" si="9"/>
        <v>-0.93613823012738584</v>
      </c>
      <c r="T22" s="19">
        <f t="shared" si="7"/>
        <v>2.2328396666666666</v>
      </c>
      <c r="U22" s="19">
        <f t="shared" si="8"/>
        <v>5.1896857305713731</v>
      </c>
    </row>
    <row r="23" spans="1:21" x14ac:dyDescent="0.3">
      <c r="A23" s="13" t="s">
        <v>140</v>
      </c>
      <c r="B23" s="23">
        <v>88.366666666666674</v>
      </c>
      <c r="C23" s="24">
        <v>298.83199999999999</v>
      </c>
      <c r="D23" s="24">
        <v>286.33</v>
      </c>
      <c r="E23" s="24">
        <v>317.81299999999999</v>
      </c>
      <c r="F23" s="24">
        <v>157.6</v>
      </c>
      <c r="G23" s="24">
        <v>110.047</v>
      </c>
      <c r="H23" s="23">
        <v>1.309895666666667</v>
      </c>
      <c r="I23" s="23">
        <v>1.812160018132366</v>
      </c>
      <c r="J23" s="23">
        <v>2.8681191792107401</v>
      </c>
      <c r="K23" s="23">
        <v>2.21937769119124</v>
      </c>
      <c r="L23" s="19">
        <f t="shared" si="0"/>
        <v>3.3374914925957686</v>
      </c>
      <c r="M23" s="19">
        <f t="shared" si="1"/>
        <v>4.5948175948523113</v>
      </c>
      <c r="N23" s="19">
        <f t="shared" si="2"/>
        <v>-10.714021726046267</v>
      </c>
      <c r="O23" s="19">
        <f t="shared" si="3"/>
        <v>6.2305251669384889</v>
      </c>
      <c r="P23" s="19">
        <f t="shared" si="4"/>
        <v>-15.308839320898551</v>
      </c>
      <c r="Q23" s="19">
        <f t="shared" si="5"/>
        <v>1.6357075720862067</v>
      </c>
      <c r="R23" s="19">
        <f t="shared" si="6"/>
        <v>2.2745766854742397</v>
      </c>
      <c r="S23" s="19">
        <f t="shared" si="9"/>
        <v>-0.25017500956743477</v>
      </c>
      <c r="T23" s="19">
        <f t="shared" si="7"/>
        <v>1.420256</v>
      </c>
      <c r="U23" s="19">
        <f t="shared" si="8"/>
        <v>3.5875540723251165</v>
      </c>
    </row>
    <row r="24" spans="1:21" x14ac:dyDescent="0.3">
      <c r="A24" s="13" t="s">
        <v>141</v>
      </c>
      <c r="B24" s="23">
        <v>81.433333333333337</v>
      </c>
      <c r="C24" s="24">
        <v>301.82100000000003</v>
      </c>
      <c r="D24" s="24">
        <v>282.86799999999999</v>
      </c>
      <c r="E24" s="24">
        <v>320.55399999999997</v>
      </c>
      <c r="F24" s="24">
        <v>159.4</v>
      </c>
      <c r="G24" s="24">
        <v>110.298</v>
      </c>
      <c r="H24" s="23">
        <v>-0.1532793333333333</v>
      </c>
      <c r="I24" s="23">
        <v>1.693346957311535</v>
      </c>
      <c r="J24" s="23">
        <v>2.0732508657592299</v>
      </c>
      <c r="K24" s="23">
        <v>2.2586241436701999</v>
      </c>
      <c r="L24" s="19">
        <f t="shared" si="0"/>
        <v>3.9810335386869928</v>
      </c>
      <c r="M24" s="19">
        <f t="shared" si="1"/>
        <v>4.5426355729343904</v>
      </c>
      <c r="N24" s="19">
        <f t="shared" si="2"/>
        <v>-4.8658536279334976</v>
      </c>
      <c r="O24" s="19">
        <f t="shared" si="3"/>
        <v>3.4350357646341876</v>
      </c>
      <c r="P24" s="19">
        <f t="shared" si="4"/>
        <v>-9.4084892008679137</v>
      </c>
      <c r="Q24" s="19">
        <f t="shared" si="5"/>
        <v>-1.1075998083000997</v>
      </c>
      <c r="R24" s="19">
        <f t="shared" si="6"/>
        <v>0.91129858563980626</v>
      </c>
      <c r="S24" s="19">
        <f t="shared" si="9"/>
        <v>-0.49438361749002957</v>
      </c>
      <c r="T24" s="19">
        <f t="shared" si="7"/>
        <v>0.57830816666666685</v>
      </c>
      <c r="U24" s="19">
        <f t="shared" si="8"/>
        <v>1.742924356042173</v>
      </c>
    </row>
    <row r="25" spans="1:21" x14ac:dyDescent="0.3">
      <c r="A25" s="13" t="s">
        <v>29</v>
      </c>
      <c r="B25" s="23">
        <v>78.233333333333334</v>
      </c>
      <c r="C25" s="24">
        <v>304.01400000000001</v>
      </c>
      <c r="D25" s="24">
        <v>275.71199999999999</v>
      </c>
      <c r="E25" s="24">
        <v>322.36500000000001</v>
      </c>
      <c r="F25" s="24">
        <v>161.1</v>
      </c>
      <c r="G25" s="24">
        <v>111.404</v>
      </c>
      <c r="H25" s="23">
        <v>-1.3193496666666671</v>
      </c>
      <c r="I25" s="23">
        <v>1.6004714863044449</v>
      </c>
      <c r="J25" s="23">
        <v>1.36626254402056</v>
      </c>
      <c r="K25" s="23">
        <v>1.75489679003873</v>
      </c>
      <c r="L25" s="19">
        <f t="shared" si="0"/>
        <v>2.8958506237769166</v>
      </c>
      <c r="M25" s="19">
        <f t="shared" si="1"/>
        <v>4.2434095307255912</v>
      </c>
      <c r="N25" s="19">
        <f t="shared" si="2"/>
        <v>-10.249406032478745</v>
      </c>
      <c r="O25" s="19">
        <f t="shared" si="3"/>
        <v>2.2534780149525226</v>
      </c>
      <c r="P25" s="19">
        <f t="shared" si="4"/>
        <v>-14.492815563204301</v>
      </c>
      <c r="Q25" s="19">
        <f t="shared" si="5"/>
        <v>-1.9899315157730559</v>
      </c>
      <c r="R25" s="19">
        <f t="shared" si="6"/>
        <v>3.9909759049979314</v>
      </c>
      <c r="S25" s="19">
        <f t="shared" si="9"/>
        <v>-9.9538211594009551E-2</v>
      </c>
      <c r="T25" s="19">
        <f t="shared" si="7"/>
        <v>-0.7363145000000002</v>
      </c>
      <c r="U25" s="19">
        <f t="shared" si="8"/>
        <v>-1.2022963774527158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9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16" width="14" customWidth="1"/>
    <col min="17" max="17" width="70" customWidth="1"/>
  </cols>
  <sheetData>
    <row r="1" spans="1:17" ht="18" x14ac:dyDescent="0.35">
      <c r="A1" s="1" t="s">
        <v>283</v>
      </c>
    </row>
    <row r="2" spans="1:17" x14ac:dyDescent="0.3">
      <c r="A2" s="8" t="s">
        <v>284</v>
      </c>
    </row>
    <row r="5" spans="1:17" x14ac:dyDescent="0.3">
      <c r="A5" s="9" t="s">
        <v>27</v>
      </c>
      <c r="B5" s="9" t="s">
        <v>47</v>
      </c>
      <c r="C5" s="9" t="s">
        <v>238</v>
      </c>
      <c r="D5" s="9" t="s">
        <v>239</v>
      </c>
      <c r="E5" s="9" t="s">
        <v>240</v>
      </c>
      <c r="F5" s="9" t="s">
        <v>241</v>
      </c>
      <c r="G5" s="9" t="s">
        <v>242</v>
      </c>
      <c r="H5" s="9" t="s">
        <v>50</v>
      </c>
      <c r="I5" s="9" t="s">
        <v>51</v>
      </c>
      <c r="J5" s="9" t="s">
        <v>243</v>
      </c>
      <c r="K5" s="9" t="s">
        <v>244</v>
      </c>
    </row>
    <row r="6" spans="1:17" ht="48" customHeight="1" x14ac:dyDescent="0.3">
      <c r="A6" s="10" t="s">
        <v>57</v>
      </c>
      <c r="B6" s="10" t="s">
        <v>59</v>
      </c>
      <c r="C6" s="10" t="s">
        <v>245</v>
      </c>
      <c r="D6" s="10" t="s">
        <v>246</v>
      </c>
      <c r="E6" s="10" t="s">
        <v>247</v>
      </c>
      <c r="F6" s="10" t="s">
        <v>248</v>
      </c>
      <c r="G6" s="10" t="s">
        <v>249</v>
      </c>
      <c r="H6" s="10" t="s">
        <v>250</v>
      </c>
      <c r="I6" s="10" t="s">
        <v>251</v>
      </c>
      <c r="J6" s="10" t="s">
        <v>252</v>
      </c>
      <c r="K6" s="10" t="s">
        <v>253</v>
      </c>
      <c r="L6" s="10" t="s">
        <v>285</v>
      </c>
      <c r="M6" s="10" t="s">
        <v>286</v>
      </c>
      <c r="N6" s="10" t="s">
        <v>287</v>
      </c>
      <c r="O6" s="10" t="s">
        <v>61</v>
      </c>
      <c r="P6" s="10" t="s">
        <v>260</v>
      </c>
      <c r="Q6" s="10" t="s">
        <v>288</v>
      </c>
    </row>
    <row r="7" spans="1:17" ht="30" customHeight="1" x14ac:dyDescent="0.3">
      <c r="A7" s="15" t="s">
        <v>264</v>
      </c>
      <c r="B7" s="15" t="s">
        <v>265</v>
      </c>
      <c r="C7" s="15" t="s">
        <v>266</v>
      </c>
      <c r="D7" s="15" t="s">
        <v>266</v>
      </c>
      <c r="E7" s="15" t="s">
        <v>266</v>
      </c>
      <c r="F7" s="15" t="s">
        <v>267</v>
      </c>
      <c r="G7" s="15" t="s">
        <v>267</v>
      </c>
      <c r="H7" s="15" t="s">
        <v>73</v>
      </c>
      <c r="I7" s="15" t="s">
        <v>130</v>
      </c>
      <c r="J7" s="15" t="s">
        <v>268</v>
      </c>
      <c r="K7" s="15" t="s">
        <v>268</v>
      </c>
      <c r="L7" s="15" t="s">
        <v>289</v>
      </c>
      <c r="M7" s="15" t="s">
        <v>290</v>
      </c>
      <c r="N7" s="15" t="s">
        <v>291</v>
      </c>
      <c r="O7" s="15" t="s">
        <v>291</v>
      </c>
      <c r="P7" s="15" t="s">
        <v>291</v>
      </c>
      <c r="Q7" s="15"/>
    </row>
    <row r="8" spans="1:17" x14ac:dyDescent="0.3">
      <c r="A8" s="13" t="s">
        <v>77</v>
      </c>
      <c r="B8" s="23">
        <v>86.766666666666666</v>
      </c>
      <c r="C8" s="24">
        <v>307.27600000000001</v>
      </c>
      <c r="D8" s="24">
        <v>292.62299999999999</v>
      </c>
      <c r="E8" s="24">
        <v>324.37900000000002</v>
      </c>
      <c r="F8" s="24">
        <v>162.80000000000001</v>
      </c>
      <c r="G8" s="24">
        <v>112.786</v>
      </c>
      <c r="H8" s="23">
        <v>-0.86747033333333334</v>
      </c>
      <c r="I8" s="23">
        <v>1.4708748375920311</v>
      </c>
      <c r="J8" s="23">
        <v>2.8124348437725799</v>
      </c>
      <c r="K8" s="23">
        <v>2.2222181292254701</v>
      </c>
      <c r="L8" s="19">
        <f>400*LN(C8/History!C25)</f>
        <v>4.2690454128546893</v>
      </c>
      <c r="M8" s="19">
        <f>100*(C8/History!C22-1)</f>
        <v>3.6872066381192559</v>
      </c>
      <c r="N8" s="19">
        <f>100*((D8/History!D25)^4-1)</f>
        <v>26.885255718639666</v>
      </c>
      <c r="O8" s="19">
        <f>100*((E8/History!E25)^4-1)</f>
        <v>2.522547624312188</v>
      </c>
      <c r="P8" s="19">
        <f>100*((G8/History!G25)^4-1)</f>
        <v>5.0552207235400326</v>
      </c>
      <c r="Q8" s="13"/>
    </row>
    <row r="9" spans="1:17" x14ac:dyDescent="0.3">
      <c r="A9" s="13" t="s">
        <v>79</v>
      </c>
      <c r="B9" s="23">
        <v>84.066666666666663</v>
      </c>
      <c r="C9" s="24">
        <v>308.74099999999999</v>
      </c>
      <c r="D9" s="24">
        <v>280.76299999999998</v>
      </c>
      <c r="E9" s="24">
        <v>326.43400000000003</v>
      </c>
      <c r="F9" s="24">
        <v>164.4</v>
      </c>
      <c r="G9" s="24">
        <v>113.881</v>
      </c>
      <c r="H9" s="23">
        <v>-9.9495666666666593E-2</v>
      </c>
      <c r="I9" s="23">
        <v>1.351456514880639</v>
      </c>
      <c r="J9" s="23">
        <v>3.0916649890521999</v>
      </c>
      <c r="K9" s="23">
        <v>2.27841033697577</v>
      </c>
      <c r="L9" s="19">
        <f t="shared" ref="L9:L19" si="0">400*LN(C9/C8)</f>
        <v>1.9025484840818969</v>
      </c>
      <c r="M9" s="19">
        <f>100*(C9/History!C23-1)</f>
        <v>3.3159099427102934</v>
      </c>
      <c r="N9" s="19">
        <f t="shared" ref="N9:N19" si="1">100*((D9/D8)^4-1)</f>
        <v>-15.252740459444269</v>
      </c>
      <c r="O9" s="19">
        <f t="shared" ref="O9:O19" si="2">100*((E9/E8)^4-1)</f>
        <v>2.558255380999408</v>
      </c>
      <c r="P9" s="19">
        <f t="shared" ref="P9:P19" si="3">100*((G9/G8)^4-1)</f>
        <v>3.9403824002580912</v>
      </c>
      <c r="Q9" s="13"/>
    </row>
    <row r="10" spans="1:17" x14ac:dyDescent="0.3">
      <c r="A10" s="13" t="s">
        <v>80</v>
      </c>
      <c r="B10" s="23">
        <v>83.13333333333334</v>
      </c>
      <c r="C10" s="24">
        <v>312.34500000000003</v>
      </c>
      <c r="D10" s="24">
        <v>288.68799999999999</v>
      </c>
      <c r="E10" s="24">
        <v>327.774</v>
      </c>
      <c r="F10" s="24">
        <v>166.2</v>
      </c>
      <c r="G10" s="24">
        <v>113.947</v>
      </c>
      <c r="H10" s="23">
        <v>-0.28298666666666661</v>
      </c>
      <c r="I10" s="23">
        <v>1.304556354916067</v>
      </c>
      <c r="J10" s="23">
        <v>2.0822133302478298</v>
      </c>
      <c r="K10" s="23">
        <v>2.2187527069880901</v>
      </c>
      <c r="L10" s="19">
        <f t="shared" si="0"/>
        <v>4.6422433632056492</v>
      </c>
      <c r="M10" s="19">
        <f>100*(C10/History!C24-1)</f>
        <v>3.4868349120836584</v>
      </c>
      <c r="N10" s="19">
        <f t="shared" si="1"/>
        <v>11.777767156279051</v>
      </c>
      <c r="O10" s="19">
        <f t="shared" si="2"/>
        <v>1.6521239600217896</v>
      </c>
      <c r="P10" s="19">
        <f t="shared" si="3"/>
        <v>0.23202254231335928</v>
      </c>
      <c r="Q10" s="13"/>
    </row>
    <row r="11" spans="1:17" x14ac:dyDescent="0.3">
      <c r="A11" s="13" t="s">
        <v>81</v>
      </c>
      <c r="B11" s="23">
        <v>84.899999999999991</v>
      </c>
      <c r="C11" s="24">
        <v>313.04399999999998</v>
      </c>
      <c r="D11" s="24">
        <v>278.28399999999999</v>
      </c>
      <c r="E11" s="24">
        <v>329.6</v>
      </c>
      <c r="F11" s="24">
        <v>167.6</v>
      </c>
      <c r="G11" s="24">
        <v>114.99</v>
      </c>
      <c r="H11" s="23">
        <v>-0.61931533333333333</v>
      </c>
      <c r="I11" s="23">
        <v>1.136691007302191</v>
      </c>
      <c r="J11" s="23">
        <v>2.72584019931372</v>
      </c>
      <c r="K11" s="23">
        <v>2.3670636703552801</v>
      </c>
      <c r="L11" s="19">
        <f t="shared" si="0"/>
        <v>0.89416384500331691</v>
      </c>
      <c r="M11" s="19">
        <f>100*(C11/History!C25-1)</f>
        <v>2.9702579486470926</v>
      </c>
      <c r="N11" s="19">
        <f t="shared" si="1"/>
        <v>-13.654835413893307</v>
      </c>
      <c r="O11" s="19">
        <f t="shared" si="2"/>
        <v>2.2470549537051188</v>
      </c>
      <c r="P11" s="19">
        <f t="shared" si="3"/>
        <v>3.7119293967276867</v>
      </c>
      <c r="Q11" s="13"/>
    </row>
    <row r="12" spans="1:17" x14ac:dyDescent="0.3">
      <c r="A12" s="13" t="s">
        <v>82</v>
      </c>
      <c r="B12" s="23">
        <v>80.166666666666671</v>
      </c>
      <c r="C12" s="24">
        <v>314.73200000000003</v>
      </c>
      <c r="D12" s="24">
        <v>272.68099999999998</v>
      </c>
      <c r="E12" s="24">
        <v>331.75299999999999</v>
      </c>
      <c r="F12" s="24">
        <v>168.9</v>
      </c>
      <c r="G12" s="24">
        <v>116.035</v>
      </c>
      <c r="H12" s="23">
        <v>9.6915333333333298E-2</v>
      </c>
      <c r="I12" s="23">
        <v>1.041837220371252</v>
      </c>
      <c r="J12" s="23">
        <v>2.2361209148941299</v>
      </c>
      <c r="K12" s="23">
        <v>2.1245066901584502</v>
      </c>
      <c r="L12" s="19">
        <f t="shared" si="0"/>
        <v>2.1510909216932923</v>
      </c>
      <c r="M12" s="19">
        <f t="shared" ref="M12:M19" si="4">100*(C12/C8-1)</f>
        <v>2.4264830315416708</v>
      </c>
      <c r="N12" s="19">
        <f t="shared" si="1"/>
        <v>-7.8136620383277293</v>
      </c>
      <c r="O12" s="19">
        <f t="shared" si="2"/>
        <v>2.6385772184190914</v>
      </c>
      <c r="P12" s="19">
        <f t="shared" si="3"/>
        <v>3.684951883419374</v>
      </c>
      <c r="Q12" s="13"/>
    </row>
    <row r="13" spans="1:17" x14ac:dyDescent="0.3">
      <c r="A13" s="13" t="s">
        <v>83</v>
      </c>
      <c r="B13" s="23">
        <v>74.63333333333334</v>
      </c>
      <c r="C13" s="24">
        <v>317.60399999999998</v>
      </c>
      <c r="D13" s="24">
        <v>279.82900000000001</v>
      </c>
      <c r="E13" s="24">
        <v>334.464</v>
      </c>
      <c r="F13" s="24">
        <v>170.5</v>
      </c>
      <c r="G13" s="24">
        <v>116.44499999999999</v>
      </c>
      <c r="H13" s="23">
        <v>-0.3629646666666666</v>
      </c>
      <c r="I13" s="23">
        <v>1.061068702290076</v>
      </c>
      <c r="J13" s="23">
        <v>2.6503563435158202</v>
      </c>
      <c r="K13" s="23">
        <v>2.3244687245425002</v>
      </c>
      <c r="L13" s="19">
        <f t="shared" si="0"/>
        <v>3.6335362830405753</v>
      </c>
      <c r="M13" s="19">
        <f t="shared" si="4"/>
        <v>2.8706909675099812</v>
      </c>
      <c r="N13" s="19">
        <f t="shared" si="1"/>
        <v>10.905062230031648</v>
      </c>
      <c r="O13" s="19">
        <f t="shared" si="2"/>
        <v>3.3089820355151289</v>
      </c>
      <c r="P13" s="19">
        <f t="shared" si="3"/>
        <v>1.4208753380270167</v>
      </c>
      <c r="Q13" s="13"/>
    </row>
    <row r="14" spans="1:17" x14ac:dyDescent="0.3">
      <c r="A14" s="13" t="s">
        <v>84</v>
      </c>
      <c r="B14" s="23">
        <v>75.666666666666671</v>
      </c>
      <c r="C14" s="24">
        <v>319.78500000000003</v>
      </c>
      <c r="D14" s="24">
        <v>278.90600000000001</v>
      </c>
      <c r="E14" s="24">
        <v>337.33100000000002</v>
      </c>
      <c r="F14" s="24">
        <v>171.8</v>
      </c>
      <c r="G14" s="24">
        <v>116.187</v>
      </c>
      <c r="H14" s="23">
        <v>-0.208122</v>
      </c>
      <c r="I14" s="23">
        <v>1.0248329463058621</v>
      </c>
      <c r="J14" s="23">
        <v>2.18385272312449</v>
      </c>
      <c r="K14" s="23">
        <v>2.2956559823083</v>
      </c>
      <c r="L14" s="19">
        <f t="shared" si="0"/>
        <v>2.7374284930022701</v>
      </c>
      <c r="M14" s="19">
        <f t="shared" si="4"/>
        <v>2.3819814628055491</v>
      </c>
      <c r="N14" s="19">
        <f t="shared" si="1"/>
        <v>-1.3128636980496822</v>
      </c>
      <c r="O14" s="19">
        <f t="shared" si="2"/>
        <v>3.4731088210823824</v>
      </c>
      <c r="P14" s="19">
        <f t="shared" si="3"/>
        <v>-0.88331423012805166</v>
      </c>
      <c r="Q14" s="13"/>
    </row>
    <row r="15" spans="1:17" x14ac:dyDescent="0.3">
      <c r="A15" s="13" t="s">
        <v>85</v>
      </c>
      <c r="B15" s="23">
        <v>67.8</v>
      </c>
      <c r="C15" s="24">
        <v>321.435</v>
      </c>
      <c r="D15" s="24">
        <v>276.55799999999999</v>
      </c>
      <c r="E15" s="24">
        <v>339.46800000000002</v>
      </c>
      <c r="F15" s="24">
        <v>173.56299999999999</v>
      </c>
      <c r="G15" s="24">
        <v>117.38500000000001</v>
      </c>
      <c r="H15" s="23">
        <v>-5.3498999999999998E-2</v>
      </c>
      <c r="I15" s="23">
        <v>1.0072237498252321</v>
      </c>
      <c r="J15" s="23">
        <v>2.3805420229348999</v>
      </c>
      <c r="K15" s="23">
        <v>2.34697544429515</v>
      </c>
      <c r="L15" s="19">
        <f t="shared" si="0"/>
        <v>2.0585803834159728</v>
      </c>
      <c r="M15" s="19">
        <f t="shared" si="4"/>
        <v>2.6804538659102262</v>
      </c>
      <c r="N15" s="19">
        <f t="shared" si="1"/>
        <v>-3.3251571864827967</v>
      </c>
      <c r="O15" s="19">
        <f t="shared" si="2"/>
        <v>2.558190997752674</v>
      </c>
      <c r="P15" s="19">
        <f t="shared" si="3"/>
        <v>4.1886148969224601</v>
      </c>
      <c r="Q15" s="13"/>
    </row>
    <row r="16" spans="1:17" x14ac:dyDescent="0.3">
      <c r="A16" s="13" t="s">
        <v>86</v>
      </c>
      <c r="B16" s="23">
        <v>69.066666666666663</v>
      </c>
      <c r="C16" s="24">
        <v>324.245</v>
      </c>
      <c r="D16" s="24">
        <v>280.7</v>
      </c>
      <c r="E16" s="24">
        <v>342.08600000000001</v>
      </c>
      <c r="F16" s="24">
        <v>174.94800000000001</v>
      </c>
      <c r="G16" s="24">
        <v>118.884</v>
      </c>
      <c r="H16" s="23">
        <v>-2.9837666666666599E-2</v>
      </c>
      <c r="I16" s="23">
        <v>0.95147594015365955</v>
      </c>
      <c r="J16" s="23">
        <v>2.8035993110408999</v>
      </c>
      <c r="K16" s="23">
        <v>2.29884241600088</v>
      </c>
      <c r="L16" s="19">
        <f t="shared" si="0"/>
        <v>3.4816227736172309</v>
      </c>
      <c r="M16" s="19">
        <f t="shared" si="4"/>
        <v>3.0225715847133294</v>
      </c>
      <c r="N16" s="19">
        <f t="shared" si="1"/>
        <v>6.1267212865563581</v>
      </c>
      <c r="O16" s="19">
        <f t="shared" si="2"/>
        <v>3.1206962610780042</v>
      </c>
      <c r="P16" s="19">
        <f t="shared" si="3"/>
        <v>5.2066565438818158</v>
      </c>
      <c r="Q16" s="13"/>
    </row>
    <row r="17" spans="1:17" x14ac:dyDescent="0.3">
      <c r="A17" s="13" t="s">
        <v>87</v>
      </c>
      <c r="B17" s="23">
        <v>63.666666666666657</v>
      </c>
      <c r="C17" s="24">
        <v>326.03100000000001</v>
      </c>
      <c r="D17" s="24">
        <v>285.62400000000002</v>
      </c>
      <c r="E17" s="24">
        <v>344.63200000000001</v>
      </c>
      <c r="F17" s="24">
        <v>176.233</v>
      </c>
      <c r="G17" s="24">
        <v>119.35</v>
      </c>
      <c r="H17" s="23">
        <v>3.3617000000000001E-2</v>
      </c>
      <c r="I17" s="23">
        <v>0.89506898202550378</v>
      </c>
      <c r="J17" s="23">
        <v>3.1928688431640202</v>
      </c>
      <c r="K17" s="23">
        <v>2.3471329990431999</v>
      </c>
      <c r="L17" s="19">
        <f t="shared" si="0"/>
        <v>2.1972263972357688</v>
      </c>
      <c r="M17" s="19">
        <f t="shared" si="4"/>
        <v>2.6533041145577529</v>
      </c>
      <c r="N17" s="19">
        <f t="shared" si="1"/>
        <v>7.2035425975636391</v>
      </c>
      <c r="O17" s="19">
        <f t="shared" si="2"/>
        <v>3.0104295132113323</v>
      </c>
      <c r="P17" s="19">
        <f t="shared" si="3"/>
        <v>1.5771578962470389</v>
      </c>
      <c r="Q17" s="13" t="s">
        <v>292</v>
      </c>
    </row>
    <row r="18" spans="1:17" x14ac:dyDescent="0.3">
      <c r="A18" s="13" t="s">
        <v>88</v>
      </c>
      <c r="B18" s="23">
        <v>80.533333333333331</v>
      </c>
      <c r="C18" s="24">
        <v>330.29300000000001</v>
      </c>
      <c r="D18" s="24">
        <v>314.01900000000001</v>
      </c>
      <c r="E18" s="24">
        <v>346.60300000000001</v>
      </c>
      <c r="F18" s="24">
        <v>177.49799999999999</v>
      </c>
      <c r="G18" s="24">
        <v>119.59399999999999</v>
      </c>
      <c r="H18" s="23">
        <v>0.49244233333333332</v>
      </c>
      <c r="I18" s="23">
        <v>0.94909369645594721</v>
      </c>
      <c r="J18" s="23">
        <v>2.29529521191452</v>
      </c>
      <c r="K18" s="23">
        <v>2.1947261789280201</v>
      </c>
      <c r="L18" s="19">
        <f t="shared" si="0"/>
        <v>5.1950681787617041</v>
      </c>
      <c r="M18" s="19">
        <f t="shared" si="4"/>
        <v>3.2859577528651984</v>
      </c>
      <c r="N18" s="19">
        <f t="shared" si="1"/>
        <v>46.098217527393203</v>
      </c>
      <c r="O18" s="19">
        <f t="shared" si="2"/>
        <v>2.3073576566033482</v>
      </c>
      <c r="P18" s="19">
        <f t="shared" si="3"/>
        <v>0.82027406244198353</v>
      </c>
      <c r="Q18" s="13"/>
    </row>
    <row r="19" spans="1:17" x14ac:dyDescent="0.3">
      <c r="A19" s="13" t="s">
        <v>32</v>
      </c>
      <c r="B19" s="23">
        <v>104.43333333333329</v>
      </c>
      <c r="C19" s="24">
        <v>332.56799999999998</v>
      </c>
      <c r="D19" s="24">
        <v>319.29000000000002</v>
      </c>
      <c r="E19" s="24">
        <v>349.60899999999998</v>
      </c>
      <c r="F19" s="24">
        <v>179.01</v>
      </c>
      <c r="G19" s="24">
        <v>120.017</v>
      </c>
      <c r="H19" s="23">
        <v>1.599418666666667</v>
      </c>
      <c r="I19" s="23">
        <v>1.0243409571048041</v>
      </c>
      <c r="J19" s="23">
        <v>3.0388659524128001</v>
      </c>
      <c r="K19" s="23">
        <v>2.4654242558261599</v>
      </c>
      <c r="L19" s="19">
        <f t="shared" si="0"/>
        <v>2.7456844589326375</v>
      </c>
      <c r="M19" s="19">
        <f t="shared" si="4"/>
        <v>3.4635307293854112</v>
      </c>
      <c r="N19" s="19">
        <f t="shared" si="1"/>
        <v>6.8851971189995087</v>
      </c>
      <c r="O19" s="19">
        <f t="shared" si="2"/>
        <v>3.5144900715602834</v>
      </c>
      <c r="P19" s="19">
        <f t="shared" si="3"/>
        <v>1.4223104900269234</v>
      </c>
      <c r="Q19" s="1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defaultRowHeight="14.4" x14ac:dyDescent="0.3"/>
  <cols>
    <col min="1" max="1" width="20" customWidth="1"/>
    <col min="2" max="2" width="14" customWidth="1"/>
    <col min="3" max="3" width="120" customWidth="1"/>
  </cols>
  <sheetData>
    <row r="1" spans="1:3" ht="18" x14ac:dyDescent="0.35">
      <c r="A1" s="1" t="s">
        <v>293</v>
      </c>
    </row>
    <row r="2" spans="1:3" x14ac:dyDescent="0.3">
      <c r="A2" s="8" t="s">
        <v>294</v>
      </c>
    </row>
    <row r="5" spans="1:3" x14ac:dyDescent="0.3">
      <c r="A5" s="9" t="s">
        <v>27</v>
      </c>
    </row>
    <row r="6" spans="1:3" x14ac:dyDescent="0.3">
      <c r="A6" s="10" t="s">
        <v>295</v>
      </c>
      <c r="B6" s="25">
        <v>1.8686902423038689</v>
      </c>
      <c r="C6" s="10" t="s">
        <v>296</v>
      </c>
    </row>
    <row r="7" spans="1:3" x14ac:dyDescent="0.3">
      <c r="A7" s="13" t="s">
        <v>297</v>
      </c>
      <c r="B7" s="24">
        <v>0.30359216220933022</v>
      </c>
      <c r="C7" s="13" t="s">
        <v>298</v>
      </c>
    </row>
    <row r="8" spans="1:3" x14ac:dyDescent="0.3">
      <c r="A8" s="13" t="s">
        <v>299</v>
      </c>
      <c r="B8" s="24">
        <v>-7.6297265401174342E-3</v>
      </c>
      <c r="C8" s="13" t="s">
        <v>300</v>
      </c>
    </row>
    <row r="9" spans="1:3" x14ac:dyDescent="0.3">
      <c r="A9" s="13" t="s">
        <v>301</v>
      </c>
      <c r="B9" s="24">
        <v>0.86120093956096866</v>
      </c>
      <c r="C9" s="13" t="s">
        <v>302</v>
      </c>
    </row>
    <row r="10" spans="1:3" x14ac:dyDescent="0.3">
      <c r="A10" s="13" t="s">
        <v>303</v>
      </c>
      <c r="B10" s="24">
        <v>0.62090481946949128</v>
      </c>
      <c r="C10" s="13" t="s">
        <v>304</v>
      </c>
    </row>
    <row r="11" spans="1:3" x14ac:dyDescent="0.3">
      <c r="A11" s="13" t="s">
        <v>305</v>
      </c>
      <c r="B11" s="24">
        <v>2.0726049145632759E-2</v>
      </c>
      <c r="C11" s="13" t="s">
        <v>306</v>
      </c>
    </row>
    <row r="12" spans="1:3" x14ac:dyDescent="0.3">
      <c r="A12" s="13" t="s">
        <v>307</v>
      </c>
      <c r="B12" s="24">
        <v>-5.4969583482655182E-2</v>
      </c>
      <c r="C12" s="13" t="s">
        <v>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2"/>
  <sheetViews>
    <sheetView workbookViewId="0"/>
  </sheetViews>
  <sheetFormatPr defaultRowHeight="14.4" x14ac:dyDescent="0.3"/>
  <cols>
    <col min="2" max="2" width="12" customWidth="1"/>
    <col min="3" max="3" width="24" customWidth="1"/>
    <col min="4" max="6" width="14" customWidth="1"/>
  </cols>
  <sheetData>
    <row r="1" spans="1:6" ht="18" x14ac:dyDescent="0.35">
      <c r="A1" s="1" t="s">
        <v>309</v>
      </c>
    </row>
    <row r="2" spans="1:6" x14ac:dyDescent="0.3">
      <c r="A2" s="8" t="s">
        <v>310</v>
      </c>
    </row>
    <row r="5" spans="1:6" x14ac:dyDescent="0.3">
      <c r="A5" s="9" t="s">
        <v>27</v>
      </c>
    </row>
    <row r="6" spans="1:6" x14ac:dyDescent="0.3">
      <c r="A6" s="10"/>
      <c r="B6" s="10" t="s">
        <v>311</v>
      </c>
      <c r="C6" s="10" t="s">
        <v>312</v>
      </c>
      <c r="D6" s="10" t="s">
        <v>313</v>
      </c>
      <c r="E6" s="10" t="s">
        <v>314</v>
      </c>
      <c r="F6" s="10" t="s">
        <v>315</v>
      </c>
    </row>
    <row r="8" spans="1:6" x14ac:dyDescent="0.3">
      <c r="B8" t="s">
        <v>316</v>
      </c>
      <c r="C8" t="s">
        <v>317</v>
      </c>
      <c r="D8" s="26">
        <v>0.17348350343234681</v>
      </c>
      <c r="E8" s="24">
        <v>8.8332245441419197E-2</v>
      </c>
      <c r="F8" s="18">
        <v>1.963988377804782</v>
      </c>
    </row>
    <row r="9" spans="1:6" x14ac:dyDescent="0.3">
      <c r="B9" t="s">
        <v>316</v>
      </c>
      <c r="C9" t="s">
        <v>318</v>
      </c>
      <c r="D9" s="26">
        <v>0.18249805068236949</v>
      </c>
      <c r="E9" s="24">
        <v>0.1040432240526574</v>
      </c>
      <c r="F9" s="18">
        <v>1.7540599336868421</v>
      </c>
    </row>
    <row r="10" spans="1:6" x14ac:dyDescent="0.3">
      <c r="B10" t="s">
        <v>316</v>
      </c>
      <c r="C10" t="s">
        <v>319</v>
      </c>
      <c r="D10" s="26">
        <v>0.2109753969439849</v>
      </c>
      <c r="E10" s="24">
        <v>8.1757920283331606E-2</v>
      </c>
      <c r="F10" s="18">
        <v>2.5804887919464061</v>
      </c>
    </row>
    <row r="11" spans="1:6" x14ac:dyDescent="0.3">
      <c r="B11" t="s">
        <v>316</v>
      </c>
      <c r="C11" t="s">
        <v>320</v>
      </c>
      <c r="D11" s="26">
        <v>-3.4330145664988002E-2</v>
      </c>
      <c r="E11" s="24">
        <v>7.7243461244813696E-2</v>
      </c>
      <c r="F11" s="18">
        <v>-0.44444079941191228</v>
      </c>
    </row>
    <row r="12" spans="1:6" x14ac:dyDescent="0.3">
      <c r="B12" t="s">
        <v>316</v>
      </c>
      <c r="C12" t="s">
        <v>321</v>
      </c>
      <c r="D12" s="26">
        <v>0.2868046026629999</v>
      </c>
      <c r="E12" s="24">
        <v>0.14464459991516149</v>
      </c>
      <c r="F12" s="18">
        <v>1.982822745067701</v>
      </c>
    </row>
    <row r="13" spans="1:6" x14ac:dyDescent="0.3">
      <c r="B13" t="s">
        <v>316</v>
      </c>
      <c r="C13" t="s">
        <v>322</v>
      </c>
      <c r="D13" s="26">
        <v>-4.0389031252919302E-2</v>
      </c>
      <c r="E13" s="24">
        <v>0.11818998334131731</v>
      </c>
      <c r="F13" s="18">
        <v>-0.34172973132825513</v>
      </c>
    </row>
    <row r="14" spans="1:6" x14ac:dyDescent="0.3">
      <c r="B14" t="s">
        <v>316</v>
      </c>
      <c r="C14" t="s">
        <v>323</v>
      </c>
      <c r="D14" s="26">
        <v>0.1789387124825334</v>
      </c>
      <c r="E14" s="24">
        <v>0.1191257518398175</v>
      </c>
      <c r="F14" s="18">
        <v>1.502099333846332</v>
      </c>
    </row>
    <row r="15" spans="1:6" x14ac:dyDescent="0.3">
      <c r="B15" t="s">
        <v>316</v>
      </c>
      <c r="C15" t="s">
        <v>324</v>
      </c>
      <c r="D15" s="26">
        <v>4.2018910713672801E-2</v>
      </c>
      <c r="E15" s="24">
        <v>0.11607774807679851</v>
      </c>
      <c r="F15" s="18">
        <v>0.36198936841773138</v>
      </c>
    </row>
    <row r="16" spans="1:6" x14ac:dyDescent="0.3">
      <c r="B16" t="s">
        <v>316</v>
      </c>
      <c r="C16" t="s">
        <v>325</v>
      </c>
      <c r="D16" s="26">
        <v>5.1123259147407403E-2</v>
      </c>
      <c r="E16" s="24">
        <v>5.5411677200532201E-2</v>
      </c>
      <c r="F16" s="18">
        <v>0.92260804455340295</v>
      </c>
    </row>
    <row r="17" spans="2:6" x14ac:dyDescent="0.3">
      <c r="B17" t="s">
        <v>316</v>
      </c>
      <c r="C17" t="s">
        <v>326</v>
      </c>
      <c r="D17" s="26">
        <v>4.9016840373868193</v>
      </c>
      <c r="E17" s="24">
        <v>0.82028070667691078</v>
      </c>
      <c r="F17" s="18">
        <v>5.9756178555562167</v>
      </c>
    </row>
    <row r="18" spans="2:6" x14ac:dyDescent="0.3">
      <c r="B18" t="s">
        <v>316</v>
      </c>
      <c r="C18" t="s">
        <v>327</v>
      </c>
      <c r="D18" s="26">
        <v>-3.943159231212531</v>
      </c>
      <c r="E18" s="24">
        <v>0.94487203280857635</v>
      </c>
      <c r="F18" s="18">
        <v>-4.1732203878357197</v>
      </c>
    </row>
    <row r="19" spans="2:6" x14ac:dyDescent="0.3">
      <c r="B19" t="s">
        <v>316</v>
      </c>
      <c r="C19" t="s">
        <v>328</v>
      </c>
      <c r="D19" s="26">
        <v>-2.5123226415050208</v>
      </c>
      <c r="E19" s="24">
        <v>0.48778713029058368</v>
      </c>
      <c r="F19" s="18">
        <v>-5.1504488033712263</v>
      </c>
    </row>
    <row r="20" spans="2:6" x14ac:dyDescent="0.3">
      <c r="B20" t="s">
        <v>316</v>
      </c>
      <c r="C20" t="s">
        <v>329</v>
      </c>
      <c r="D20" s="26">
        <v>2.2615341391435639</v>
      </c>
      <c r="E20" s="24">
        <v>0.35478319714812101</v>
      </c>
      <c r="F20" s="18">
        <v>6.3744116331399407</v>
      </c>
    </row>
    <row r="21" spans="2:6" x14ac:dyDescent="0.3">
      <c r="B21" t="s">
        <v>316</v>
      </c>
      <c r="C21" t="s">
        <v>330</v>
      </c>
      <c r="D21" s="26">
        <v>3.3724159615221898E-2</v>
      </c>
      <c r="E21" s="24">
        <v>6.0814028860011402E-2</v>
      </c>
      <c r="F21" s="18">
        <v>0.55454572320561135</v>
      </c>
    </row>
    <row r="22" spans="2:6" x14ac:dyDescent="0.3">
      <c r="B22" t="s">
        <v>316</v>
      </c>
      <c r="C22" t="s">
        <v>331</v>
      </c>
      <c r="D22" s="26">
        <v>-1.08194553867841E-2</v>
      </c>
      <c r="E22" s="24">
        <v>6.0179733078093899E-2</v>
      </c>
      <c r="F22" s="18">
        <v>-0.1797856991612769</v>
      </c>
    </row>
    <row r="23" spans="2:6" x14ac:dyDescent="0.3">
      <c r="B23" t="s">
        <v>316</v>
      </c>
      <c r="C23" t="s">
        <v>332</v>
      </c>
      <c r="D23" s="26">
        <v>-3.1214474094806301E-2</v>
      </c>
      <c r="E23" s="24">
        <v>6.3204667979928894E-2</v>
      </c>
      <c r="F23" s="18">
        <v>-0.49386342959223678</v>
      </c>
    </row>
    <row r="24" spans="2:6" x14ac:dyDescent="0.3">
      <c r="B24" t="s">
        <v>316</v>
      </c>
      <c r="C24" t="s">
        <v>333</v>
      </c>
      <c r="D24" s="26">
        <v>-6.9429389640304996E-3</v>
      </c>
      <c r="E24" s="24">
        <v>4.7543191309555997E-2</v>
      </c>
      <c r="F24" s="18">
        <v>-0.14603434840595331</v>
      </c>
    </row>
    <row r="25" spans="2:6" x14ac:dyDescent="0.3">
      <c r="B25" t="s">
        <v>316</v>
      </c>
      <c r="C25" t="s">
        <v>334</v>
      </c>
      <c r="D25" s="26">
        <v>-0.99181817796946903</v>
      </c>
      <c r="E25" s="24">
        <v>0.2574324592935075</v>
      </c>
      <c r="F25" s="18">
        <v>-3.8527316279050239</v>
      </c>
    </row>
    <row r="26" spans="2:6" x14ac:dyDescent="0.3">
      <c r="B26" t="s">
        <v>316</v>
      </c>
      <c r="C26" t="s">
        <v>335</v>
      </c>
      <c r="D26" s="26">
        <v>3.6152261116507569</v>
      </c>
      <c r="E26" s="24">
        <v>0.75643325489584012</v>
      </c>
      <c r="F26" s="18">
        <v>4.7793061558994641</v>
      </c>
    </row>
    <row r="27" spans="2:6" x14ac:dyDescent="0.3">
      <c r="B27" t="s">
        <v>316</v>
      </c>
      <c r="C27" t="s">
        <v>336</v>
      </c>
      <c r="D27" s="26">
        <v>-0.32731736444970261</v>
      </c>
      <c r="E27" s="24">
        <v>0.1791051080849784</v>
      </c>
      <c r="F27" s="18">
        <v>-1.8275155183982981</v>
      </c>
    </row>
    <row r="28" spans="2:6" x14ac:dyDescent="0.3">
      <c r="B28" t="s">
        <v>337</v>
      </c>
      <c r="C28" t="s">
        <v>338</v>
      </c>
      <c r="D28" s="26">
        <v>-0.14356996169027161</v>
      </c>
      <c r="E28" s="24">
        <v>7.1332127438102702E-2</v>
      </c>
      <c r="F28" s="18">
        <v>-2.0126970391406331</v>
      </c>
    </row>
    <row r="29" spans="2:6" x14ac:dyDescent="0.3">
      <c r="B29" t="s">
        <v>337</v>
      </c>
      <c r="C29" t="s">
        <v>339</v>
      </c>
      <c r="D29" s="26">
        <v>-0.21935102919977509</v>
      </c>
      <c r="E29" s="24">
        <v>0.1017877195078243</v>
      </c>
      <c r="F29" s="18">
        <v>-2.1549852011657831</v>
      </c>
    </row>
    <row r="30" spans="2:6" x14ac:dyDescent="0.3">
      <c r="B30" t="s">
        <v>337</v>
      </c>
      <c r="C30" t="s">
        <v>340</v>
      </c>
      <c r="D30" s="26">
        <v>0.13840502789769371</v>
      </c>
      <c r="E30" s="24">
        <v>9.9333090988070999E-2</v>
      </c>
      <c r="F30" s="18">
        <v>1.393342606385972</v>
      </c>
    </row>
    <row r="31" spans="2:6" x14ac:dyDescent="0.3">
      <c r="B31" t="s">
        <v>337</v>
      </c>
      <c r="C31" t="s">
        <v>341</v>
      </c>
      <c r="D31" s="26">
        <v>0.2602394100987388</v>
      </c>
      <c r="E31" s="24">
        <v>0.1139470787934059</v>
      </c>
      <c r="F31" s="18">
        <v>2.2838620599530342</v>
      </c>
    </row>
    <row r="32" spans="2:6" x14ac:dyDescent="0.3">
      <c r="B32" t="s">
        <v>337</v>
      </c>
      <c r="C32" t="s">
        <v>342</v>
      </c>
      <c r="D32" s="26">
        <v>-3.2118939516289899E-2</v>
      </c>
      <c r="E32" s="24">
        <v>7.0633443283159597E-2</v>
      </c>
      <c r="F32" s="18">
        <v>-0.45472708144114649</v>
      </c>
    </row>
    <row r="33" spans="2:6" x14ac:dyDescent="0.3">
      <c r="B33" t="s">
        <v>337</v>
      </c>
      <c r="C33" t="s">
        <v>343</v>
      </c>
      <c r="D33" s="26">
        <v>0.42239423047187979</v>
      </c>
      <c r="E33" s="24">
        <v>9.9388935071163198E-2</v>
      </c>
      <c r="F33" s="18">
        <v>4.2499120266198904</v>
      </c>
    </row>
    <row r="34" spans="2:6" x14ac:dyDescent="0.3">
      <c r="B34" t="s">
        <v>337</v>
      </c>
      <c r="C34" t="s">
        <v>317</v>
      </c>
      <c r="D34" s="26">
        <v>0.29388497262710761</v>
      </c>
      <c r="E34" s="24">
        <v>0.12905417499392419</v>
      </c>
      <c r="F34" s="18">
        <v>2.2772217376225412</v>
      </c>
    </row>
    <row r="35" spans="2:6" x14ac:dyDescent="0.3">
      <c r="B35" t="s">
        <v>337</v>
      </c>
      <c r="C35" t="s">
        <v>318</v>
      </c>
      <c r="D35" s="26">
        <v>0.1078773346759262</v>
      </c>
      <c r="E35" s="24">
        <v>0.13408537720674271</v>
      </c>
      <c r="F35" s="18">
        <v>0.80454212773398071</v>
      </c>
    </row>
    <row r="36" spans="2:6" x14ac:dyDescent="0.3">
      <c r="B36" t="s">
        <v>337</v>
      </c>
      <c r="C36" t="s">
        <v>319</v>
      </c>
      <c r="D36" s="26">
        <v>-2.3735909594491299E-2</v>
      </c>
      <c r="E36" s="24">
        <v>9.3251654333904699E-2</v>
      </c>
      <c r="F36" s="18">
        <v>-0.25453606977845711</v>
      </c>
    </row>
    <row r="37" spans="2:6" x14ac:dyDescent="0.3">
      <c r="B37" t="s">
        <v>337</v>
      </c>
      <c r="C37" t="s">
        <v>320</v>
      </c>
      <c r="D37" s="26">
        <v>5.2404902539210201E-2</v>
      </c>
      <c r="E37" s="24">
        <v>9.6822599314037805E-2</v>
      </c>
      <c r="F37" s="18">
        <v>0.5412465985264282</v>
      </c>
    </row>
    <row r="38" spans="2:6" x14ac:dyDescent="0.3">
      <c r="B38" t="s">
        <v>337</v>
      </c>
      <c r="C38" t="s">
        <v>344</v>
      </c>
      <c r="D38" s="26">
        <v>9.2205597134919798E-2</v>
      </c>
      <c r="E38" s="24">
        <v>4.6542378800939997E-3</v>
      </c>
      <c r="F38" s="18">
        <v>19.811105386185531</v>
      </c>
    </row>
    <row r="39" spans="2:6" x14ac:dyDescent="0.3">
      <c r="B39" t="s">
        <v>337</v>
      </c>
      <c r="C39" t="s">
        <v>345</v>
      </c>
      <c r="D39" s="26">
        <v>2.2505126695068999E-2</v>
      </c>
      <c r="E39" s="24">
        <v>9.9781940598463008E-3</v>
      </c>
      <c r="F39" s="18">
        <v>2.2554308485172521</v>
      </c>
    </row>
    <row r="40" spans="2:6" x14ac:dyDescent="0.3">
      <c r="B40" t="s">
        <v>337</v>
      </c>
      <c r="C40" t="s">
        <v>346</v>
      </c>
      <c r="D40" s="26">
        <v>-1.270122765526E-2</v>
      </c>
      <c r="E40" s="24">
        <v>9.7870138980185005E-3</v>
      </c>
      <c r="F40" s="18">
        <v>-1.2977633206213719</v>
      </c>
    </row>
    <row r="41" spans="2:6" x14ac:dyDescent="0.3">
      <c r="B41" t="s">
        <v>337</v>
      </c>
      <c r="C41" t="s">
        <v>347</v>
      </c>
      <c r="D41" s="26">
        <v>-2.3497097290501999E-2</v>
      </c>
      <c r="E41" s="24">
        <v>9.2413505946438001E-3</v>
      </c>
      <c r="F41" s="18">
        <v>-2.5426042492231078</v>
      </c>
    </row>
    <row r="42" spans="2:6" x14ac:dyDescent="0.3">
      <c r="B42" t="s">
        <v>337</v>
      </c>
      <c r="C42" t="s">
        <v>348</v>
      </c>
      <c r="D42" s="26">
        <v>-1.8679778979429E-3</v>
      </c>
      <c r="E42" s="24">
        <v>6.8776866012357999E-3</v>
      </c>
      <c r="F42" s="18">
        <v>-0.2715997407627227</v>
      </c>
    </row>
    <row r="43" spans="2:6" x14ac:dyDescent="0.3">
      <c r="B43" t="s">
        <v>337</v>
      </c>
      <c r="C43" t="s">
        <v>349</v>
      </c>
      <c r="D43" s="26">
        <v>0.12168696137038799</v>
      </c>
      <c r="E43" s="24">
        <v>5.8909102747837699E-2</v>
      </c>
      <c r="F43" s="18">
        <v>2.0656733118355719</v>
      </c>
    </row>
    <row r="44" spans="2:6" x14ac:dyDescent="0.3">
      <c r="B44" t="s">
        <v>337</v>
      </c>
      <c r="C44" t="s">
        <v>350</v>
      </c>
      <c r="D44" s="26">
        <v>3.9725459708236398E-2</v>
      </c>
      <c r="E44" s="24">
        <v>4.0224003806580901E-2</v>
      </c>
      <c r="F44" s="18">
        <v>0.98760580620612115</v>
      </c>
    </row>
    <row r="45" spans="2:6" x14ac:dyDescent="0.3">
      <c r="B45" t="s">
        <v>337</v>
      </c>
      <c r="C45" t="s">
        <v>351</v>
      </c>
      <c r="D45" s="26">
        <v>-1.1099699969268399E-2</v>
      </c>
      <c r="E45" s="24">
        <v>4.0206761337883298E-2</v>
      </c>
      <c r="F45" s="18">
        <v>-0.27606550739042318</v>
      </c>
    </row>
    <row r="46" spans="2:6" x14ac:dyDescent="0.3">
      <c r="B46" t="s">
        <v>337</v>
      </c>
      <c r="C46" t="s">
        <v>352</v>
      </c>
      <c r="D46" s="26">
        <v>-5.62808106905901E-2</v>
      </c>
      <c r="E46" s="24">
        <v>7.0715662740030993E-2</v>
      </c>
      <c r="F46" s="18">
        <v>-0.79587475404837593</v>
      </c>
    </row>
    <row r="47" spans="2:6" x14ac:dyDescent="0.3">
      <c r="B47" t="s">
        <v>337</v>
      </c>
      <c r="C47" t="s">
        <v>353</v>
      </c>
      <c r="D47" s="26">
        <v>9.6073284932276501E-2</v>
      </c>
      <c r="E47" s="24">
        <v>6.3718732819299698E-2</v>
      </c>
      <c r="F47" s="18">
        <v>1.5077714304948791</v>
      </c>
    </row>
    <row r="48" spans="2:6" x14ac:dyDescent="0.3">
      <c r="B48" t="s">
        <v>337</v>
      </c>
      <c r="C48" t="s">
        <v>354</v>
      </c>
      <c r="D48" s="26">
        <v>0.30013440557616511</v>
      </c>
      <c r="E48" s="24">
        <v>0.1158257677991177</v>
      </c>
      <c r="F48" s="18">
        <v>2.591257638772599</v>
      </c>
    </row>
    <row r="49" spans="2:6" x14ac:dyDescent="0.3">
      <c r="B49" t="s">
        <v>337</v>
      </c>
      <c r="C49" t="s">
        <v>336</v>
      </c>
      <c r="D49" s="26">
        <v>4.3050936698604998E-3</v>
      </c>
      <c r="E49" s="24">
        <v>0.1130271880620916</v>
      </c>
      <c r="F49" s="18">
        <v>3.8089009765469202E-2</v>
      </c>
    </row>
    <row r="50" spans="2:6" x14ac:dyDescent="0.3">
      <c r="B50" t="s">
        <v>244</v>
      </c>
      <c r="C50" t="s">
        <v>355</v>
      </c>
      <c r="D50" s="26">
        <v>0.84945984442005007</v>
      </c>
      <c r="E50" s="24">
        <v>6.4666730977614204E-2</v>
      </c>
      <c r="F50" s="18">
        <v>13.135963911862319</v>
      </c>
    </row>
    <row r="51" spans="2:6" x14ac:dyDescent="0.3">
      <c r="B51" t="s">
        <v>244</v>
      </c>
      <c r="C51" t="s">
        <v>356</v>
      </c>
      <c r="D51" s="26">
        <v>-2.6234145103245201E-2</v>
      </c>
      <c r="E51" s="24">
        <v>0.1083232153086478</v>
      </c>
      <c r="F51" s="18">
        <v>-0.2421839587063187</v>
      </c>
    </row>
    <row r="52" spans="2:6" x14ac:dyDescent="0.3">
      <c r="B52" t="s">
        <v>244</v>
      </c>
      <c r="C52" t="s">
        <v>357</v>
      </c>
      <c r="D52" s="26">
        <v>0.1868249280695094</v>
      </c>
      <c r="E52" s="24">
        <v>0.11761201666345419</v>
      </c>
      <c r="F52" s="18">
        <v>1.588485032138403</v>
      </c>
    </row>
    <row r="53" spans="2:6" x14ac:dyDescent="0.3">
      <c r="B53" t="s">
        <v>244</v>
      </c>
      <c r="C53" t="s">
        <v>358</v>
      </c>
      <c r="D53" s="26">
        <v>-3.4764534502436599E-2</v>
      </c>
      <c r="E53" s="24">
        <v>5.9425375204547597E-2</v>
      </c>
      <c r="F53" s="18">
        <v>-0.58501161133226076</v>
      </c>
    </row>
    <row r="54" spans="2:6" x14ac:dyDescent="0.3">
      <c r="B54" t="s">
        <v>244</v>
      </c>
      <c r="C54" t="s">
        <v>359</v>
      </c>
      <c r="D54" s="26">
        <v>3.0044229085484198E-2</v>
      </c>
      <c r="E54" s="24">
        <v>4.4429478669142999E-3</v>
      </c>
      <c r="F54" s="18">
        <v>6.7622285890899221</v>
      </c>
    </row>
    <row r="55" spans="2:6" x14ac:dyDescent="0.3">
      <c r="B55" t="s">
        <v>244</v>
      </c>
      <c r="C55" t="s">
        <v>339</v>
      </c>
      <c r="D55" s="26">
        <v>1.0007246207832001E-2</v>
      </c>
      <c r="E55" s="24">
        <v>5.8327028814880002E-3</v>
      </c>
      <c r="F55" s="18">
        <v>1.7157133512823599</v>
      </c>
    </row>
    <row r="56" spans="2:6" x14ac:dyDescent="0.3">
      <c r="B56" t="s">
        <v>244</v>
      </c>
      <c r="C56" t="s">
        <v>340</v>
      </c>
      <c r="D56" s="26">
        <v>-1.04250259951201E-2</v>
      </c>
      <c r="E56" s="24">
        <v>4.8030217160335998E-3</v>
      </c>
      <c r="F56" s="18">
        <v>-2.1705140246022649</v>
      </c>
    </row>
    <row r="57" spans="2:6" x14ac:dyDescent="0.3">
      <c r="B57" t="s">
        <v>244</v>
      </c>
      <c r="C57" t="s">
        <v>341</v>
      </c>
      <c r="D57" s="26">
        <v>-3.0208526648229999E-4</v>
      </c>
      <c r="E57" s="24">
        <v>5.1675434362297001E-3</v>
      </c>
      <c r="F57" s="18">
        <v>-5.8458195893325599E-2</v>
      </c>
    </row>
    <row r="58" spans="2:6" x14ac:dyDescent="0.3">
      <c r="B58" t="s">
        <v>244</v>
      </c>
      <c r="C58" t="s">
        <v>342</v>
      </c>
      <c r="D58" s="26">
        <v>-4.6104569155908E-3</v>
      </c>
      <c r="E58" s="24">
        <v>7.5508649394748998E-3</v>
      </c>
      <c r="F58" s="18">
        <v>-0.61058659538299931</v>
      </c>
    </row>
    <row r="59" spans="2:6" x14ac:dyDescent="0.3">
      <c r="B59" t="s">
        <v>243</v>
      </c>
      <c r="C59" t="s">
        <v>321</v>
      </c>
      <c r="D59" s="26">
        <v>0.33344551078238038</v>
      </c>
      <c r="E59" s="24">
        <v>7.1648620610687302E-2</v>
      </c>
      <c r="F59" s="18">
        <v>4.6538999347133618</v>
      </c>
    </row>
    <row r="60" spans="2:6" x14ac:dyDescent="0.3">
      <c r="B60" t="s">
        <v>243</v>
      </c>
      <c r="C60" t="s">
        <v>322</v>
      </c>
      <c r="D60" s="26">
        <v>-0.28915308045854532</v>
      </c>
      <c r="E60" s="24">
        <v>0.1158345893716798</v>
      </c>
      <c r="F60" s="18">
        <v>-2.4962585185219268</v>
      </c>
    </row>
    <row r="61" spans="2:6" x14ac:dyDescent="0.3">
      <c r="B61" t="s">
        <v>243</v>
      </c>
      <c r="C61" t="s">
        <v>323</v>
      </c>
      <c r="D61" s="26">
        <v>0.14881731333582779</v>
      </c>
      <c r="E61" s="24">
        <v>7.3870431441501405E-2</v>
      </c>
      <c r="F61" s="18">
        <v>2.0145721424908332</v>
      </c>
    </row>
    <row r="62" spans="2:6" x14ac:dyDescent="0.3">
      <c r="B62" t="s">
        <v>243</v>
      </c>
      <c r="C62" t="s">
        <v>324</v>
      </c>
      <c r="D62" s="26">
        <v>9.98646964050766E-2</v>
      </c>
      <c r="E62" s="24">
        <v>7.4536349121345893E-2</v>
      </c>
      <c r="F62" s="18">
        <v>1.3398120189988909</v>
      </c>
    </row>
    <row r="63" spans="2:6" x14ac:dyDescent="0.3">
      <c r="B63" t="s">
        <v>243</v>
      </c>
      <c r="C63" t="s">
        <v>360</v>
      </c>
      <c r="D63" s="26">
        <v>1.308366223813906</v>
      </c>
      <c r="E63" s="24">
        <v>0.14804975804880671</v>
      </c>
      <c r="F63" s="18">
        <v>8.8373411821624437</v>
      </c>
    </row>
    <row r="64" spans="2:6" x14ac:dyDescent="0.3">
      <c r="B64" t="s">
        <v>243</v>
      </c>
      <c r="C64" t="s">
        <v>355</v>
      </c>
      <c r="D64" s="26">
        <v>-0.55311077017796395</v>
      </c>
      <c r="E64" s="24">
        <v>0.1758400461882412</v>
      </c>
      <c r="F64" s="18">
        <v>-3.1455335810469758</v>
      </c>
    </row>
    <row r="65" spans="2:6" x14ac:dyDescent="0.3">
      <c r="B65" t="s">
        <v>243</v>
      </c>
      <c r="C65" t="s">
        <v>356</v>
      </c>
      <c r="D65" s="26">
        <v>2.73227867187055E-2</v>
      </c>
      <c r="E65" s="24">
        <v>0.20398853425900379</v>
      </c>
      <c r="F65" s="18">
        <v>0.13394275721405929</v>
      </c>
    </row>
    <row r="66" spans="2:6" x14ac:dyDescent="0.3">
      <c r="B66" t="s">
        <v>243</v>
      </c>
      <c r="C66" t="s">
        <v>357</v>
      </c>
      <c r="D66" s="26">
        <v>0.1643717553974893</v>
      </c>
      <c r="E66" s="24">
        <v>0.18585719809068121</v>
      </c>
      <c r="F66" s="18">
        <v>0.8843981136382516</v>
      </c>
    </row>
    <row r="67" spans="2:6" x14ac:dyDescent="0.3">
      <c r="B67" t="s">
        <v>243</v>
      </c>
      <c r="C67" t="s">
        <v>358</v>
      </c>
      <c r="D67" s="26">
        <v>-0.37599105815290829</v>
      </c>
      <c r="E67" s="24">
        <v>0.15830437347629819</v>
      </c>
      <c r="F67" s="18">
        <v>-2.3751147861319359</v>
      </c>
    </row>
    <row r="68" spans="2:6" x14ac:dyDescent="0.3">
      <c r="B68" t="s">
        <v>243</v>
      </c>
      <c r="C68" t="s">
        <v>359</v>
      </c>
      <c r="D68" s="26">
        <v>3.45559299926586E-2</v>
      </c>
      <c r="E68" s="24">
        <v>1.44824947433936E-2</v>
      </c>
      <c r="F68" s="18">
        <v>2.3860481640030802</v>
      </c>
    </row>
    <row r="69" spans="2:6" x14ac:dyDescent="0.3">
      <c r="B69" t="s">
        <v>243</v>
      </c>
      <c r="C69" t="s">
        <v>339</v>
      </c>
      <c r="D69" s="26">
        <v>9.7482417917743105E-2</v>
      </c>
      <c r="E69" s="24">
        <v>1.0519572008389801E-2</v>
      </c>
      <c r="F69" s="18">
        <v>9.2667665414521085</v>
      </c>
    </row>
    <row r="70" spans="2:6" x14ac:dyDescent="0.3">
      <c r="B70" t="s">
        <v>243</v>
      </c>
      <c r="C70" t="s">
        <v>340</v>
      </c>
      <c r="D70" s="26">
        <v>7.8624420623135006E-3</v>
      </c>
      <c r="E70" s="24">
        <v>1.51143420156528E-2</v>
      </c>
      <c r="F70" s="18">
        <v>0.52019744254635769</v>
      </c>
    </row>
    <row r="71" spans="2:6" x14ac:dyDescent="0.3">
      <c r="B71" t="s">
        <v>243</v>
      </c>
      <c r="C71" t="s">
        <v>341</v>
      </c>
      <c r="D71" s="26">
        <v>1.75968551111613E-2</v>
      </c>
      <c r="E71" s="24">
        <v>2.2177574445513999E-2</v>
      </c>
      <c r="F71" s="18">
        <v>0.7934526453464702</v>
      </c>
    </row>
    <row r="72" spans="2:6" x14ac:dyDescent="0.3">
      <c r="B72" t="s">
        <v>243</v>
      </c>
      <c r="C72" t="s">
        <v>342</v>
      </c>
      <c r="D72" s="26">
        <v>-2.1431022747847101E-2</v>
      </c>
      <c r="E72" s="24">
        <v>1.2574207398020501E-2</v>
      </c>
      <c r="F72" s="18">
        <v>-1.704363708142824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Settings</vt:lpstr>
      <vt:lpstr>Inputs_A</vt:lpstr>
      <vt:lpstr>Inputs_B</vt:lpstr>
      <vt:lpstr>Model_Inputs_A</vt:lpstr>
      <vt:lpstr>Model_Inputs_B</vt:lpstr>
      <vt:lpstr>Variables</vt:lpstr>
      <vt:lpstr>History</vt:lpstr>
      <vt:lpstr>Realised</vt:lpstr>
      <vt:lpstr>Aux_Models</vt:lpstr>
      <vt:lpstr>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Cheong Wei Si</cp:lastModifiedBy>
  <dcterms:created xsi:type="dcterms:W3CDTF">2026-10-19T13:42:10Z</dcterms:created>
  <dcterms:modified xsi:type="dcterms:W3CDTF">2026-10-19T13:42:20Z</dcterms:modified>
</cp:coreProperties>
</file>